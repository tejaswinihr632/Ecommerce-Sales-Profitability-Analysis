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a9ebf42071a6de9/Desktop/"/>
    </mc:Choice>
  </mc:AlternateContent>
  <xr:revisionPtr revIDLastSave="14" documentId="8_{EA38BF85-A642-42CF-BF36-F2BDB422FF5D}" xr6:coauthVersionLast="47" xr6:coauthVersionMax="47" xr10:uidLastSave="{CC0C9637-412B-4A27-9759-38DA3BC470DF}"/>
  <bookViews>
    <workbookView xWindow="-108" yWindow="-108" windowWidth="23256" windowHeight="12456" tabRatio="920" activeTab="9" xr2:uid="{00000000-000D-0000-FFFF-FFFF00000000}"/>
  </bookViews>
  <sheets>
    <sheet name="Raw Data" sheetId="1" r:id="rId1"/>
    <sheet name="KPI" sheetId="3" r:id="rId2"/>
    <sheet name="Pivot Analysis" sheetId="5" r:id="rId3"/>
    <sheet name="Monthly Analysis" sheetId="6" r:id="rId4"/>
    <sheet name="Product Performance" sheetId="7" r:id="rId5"/>
    <sheet name="Region Performance" sheetId="8" r:id="rId6"/>
    <sheet name="Payment Mode Analysis" sheetId="9" r:id="rId7"/>
    <sheet name="Discount Analysis" sheetId="11" r:id="rId8"/>
    <sheet name="Dashboard" sheetId="12" r:id="rId9"/>
    <sheet name="Key Insights" sheetId="13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M6" i="12"/>
  <c r="J6" i="12"/>
  <c r="G6" i="12"/>
  <c r="D6" i="12"/>
  <c r="A6" i="12"/>
  <c r="B4" i="3"/>
  <c r="B5" i="3"/>
  <c r="B7" i="3"/>
  <c r="B6" i="3"/>
  <c r="T501" i="1"/>
  <c r="S501" i="1"/>
  <c r="Q501" i="1"/>
  <c r="P501" i="1"/>
  <c r="T500" i="1"/>
  <c r="S500" i="1"/>
  <c r="Q500" i="1"/>
  <c r="P500" i="1"/>
  <c r="T499" i="1"/>
  <c r="S499" i="1"/>
  <c r="Q499" i="1"/>
  <c r="P499" i="1"/>
  <c r="T498" i="1"/>
  <c r="S498" i="1"/>
  <c r="Q498" i="1"/>
  <c r="P498" i="1"/>
  <c r="T497" i="1"/>
  <c r="S497" i="1"/>
  <c r="Q497" i="1"/>
  <c r="P497" i="1"/>
  <c r="T496" i="1"/>
  <c r="S496" i="1"/>
  <c r="Q496" i="1"/>
  <c r="P496" i="1"/>
  <c r="T495" i="1"/>
  <c r="S495" i="1"/>
  <c r="Q495" i="1"/>
  <c r="P495" i="1"/>
  <c r="T494" i="1"/>
  <c r="S494" i="1"/>
  <c r="Q494" i="1"/>
  <c r="P494" i="1"/>
  <c r="T493" i="1"/>
  <c r="S493" i="1"/>
  <c r="Q493" i="1"/>
  <c r="P493" i="1"/>
  <c r="T492" i="1"/>
  <c r="S492" i="1"/>
  <c r="Q492" i="1"/>
  <c r="P492" i="1"/>
  <c r="T491" i="1"/>
  <c r="S491" i="1"/>
  <c r="Q491" i="1"/>
  <c r="P491" i="1"/>
  <c r="T490" i="1"/>
  <c r="S490" i="1"/>
  <c r="Q490" i="1"/>
  <c r="P490" i="1"/>
  <c r="T489" i="1"/>
  <c r="S489" i="1"/>
  <c r="Q489" i="1"/>
  <c r="P489" i="1"/>
  <c r="T488" i="1"/>
  <c r="S488" i="1"/>
  <c r="Q488" i="1"/>
  <c r="P488" i="1"/>
  <c r="T487" i="1"/>
  <c r="S487" i="1"/>
  <c r="Q487" i="1"/>
  <c r="P487" i="1"/>
  <c r="T486" i="1"/>
  <c r="S486" i="1"/>
  <c r="Q486" i="1"/>
  <c r="P486" i="1"/>
  <c r="T485" i="1"/>
  <c r="S485" i="1"/>
  <c r="Q485" i="1"/>
  <c r="P485" i="1"/>
  <c r="T484" i="1"/>
  <c r="S484" i="1"/>
  <c r="Q484" i="1"/>
  <c r="P484" i="1"/>
  <c r="T483" i="1"/>
  <c r="S483" i="1"/>
  <c r="Q483" i="1"/>
  <c r="P483" i="1"/>
  <c r="T482" i="1"/>
  <c r="S482" i="1"/>
  <c r="Q482" i="1"/>
  <c r="P482" i="1"/>
  <c r="T481" i="1"/>
  <c r="S481" i="1"/>
  <c r="Q481" i="1"/>
  <c r="P481" i="1"/>
  <c r="T480" i="1"/>
  <c r="S480" i="1"/>
  <c r="Q480" i="1"/>
  <c r="P480" i="1"/>
  <c r="T479" i="1"/>
  <c r="S479" i="1"/>
  <c r="Q479" i="1"/>
  <c r="P479" i="1"/>
  <c r="T478" i="1"/>
  <c r="S478" i="1"/>
  <c r="Q478" i="1"/>
  <c r="P478" i="1"/>
  <c r="T477" i="1"/>
  <c r="S477" i="1"/>
  <c r="Q477" i="1"/>
  <c r="P477" i="1"/>
  <c r="T476" i="1"/>
  <c r="S476" i="1"/>
  <c r="Q476" i="1"/>
  <c r="P476" i="1"/>
  <c r="T475" i="1"/>
  <c r="S475" i="1"/>
  <c r="Q475" i="1"/>
  <c r="P475" i="1"/>
  <c r="T474" i="1"/>
  <c r="S474" i="1"/>
  <c r="Q474" i="1"/>
  <c r="P474" i="1"/>
  <c r="T473" i="1"/>
  <c r="S473" i="1"/>
  <c r="Q473" i="1"/>
  <c r="P473" i="1"/>
  <c r="T472" i="1"/>
  <c r="S472" i="1"/>
  <c r="Q472" i="1"/>
  <c r="P472" i="1"/>
  <c r="T471" i="1"/>
  <c r="S471" i="1"/>
  <c r="Q471" i="1"/>
  <c r="P471" i="1"/>
  <c r="T470" i="1"/>
  <c r="S470" i="1"/>
  <c r="Q470" i="1"/>
  <c r="P470" i="1"/>
  <c r="T469" i="1"/>
  <c r="S469" i="1"/>
  <c r="Q469" i="1"/>
  <c r="P469" i="1"/>
  <c r="T468" i="1"/>
  <c r="S468" i="1"/>
  <c r="Q468" i="1"/>
  <c r="P468" i="1"/>
  <c r="T467" i="1"/>
  <c r="S467" i="1"/>
  <c r="Q467" i="1"/>
  <c r="P467" i="1"/>
  <c r="T466" i="1"/>
  <c r="S466" i="1"/>
  <c r="Q466" i="1"/>
  <c r="P466" i="1"/>
  <c r="T465" i="1"/>
  <c r="S465" i="1"/>
  <c r="Q465" i="1"/>
  <c r="P465" i="1"/>
  <c r="T464" i="1"/>
  <c r="S464" i="1"/>
  <c r="Q464" i="1"/>
  <c r="P464" i="1"/>
  <c r="T463" i="1"/>
  <c r="S463" i="1"/>
  <c r="Q463" i="1"/>
  <c r="P463" i="1"/>
  <c r="T462" i="1"/>
  <c r="S462" i="1"/>
  <c r="Q462" i="1"/>
  <c r="P462" i="1"/>
  <c r="T461" i="1"/>
  <c r="S461" i="1"/>
  <c r="Q461" i="1"/>
  <c r="P461" i="1"/>
  <c r="T460" i="1"/>
  <c r="S460" i="1"/>
  <c r="Q460" i="1"/>
  <c r="P460" i="1"/>
  <c r="T459" i="1"/>
  <c r="S459" i="1"/>
  <c r="Q459" i="1"/>
  <c r="P459" i="1"/>
  <c r="T458" i="1"/>
  <c r="S458" i="1"/>
  <c r="Q458" i="1"/>
  <c r="P458" i="1"/>
  <c r="T457" i="1"/>
  <c r="S457" i="1"/>
  <c r="Q457" i="1"/>
  <c r="P457" i="1"/>
  <c r="T456" i="1"/>
  <c r="S456" i="1"/>
  <c r="Q456" i="1"/>
  <c r="P456" i="1"/>
  <c r="T455" i="1"/>
  <c r="S455" i="1"/>
  <c r="Q455" i="1"/>
  <c r="P455" i="1"/>
  <c r="T454" i="1"/>
  <c r="S454" i="1"/>
  <c r="Q454" i="1"/>
  <c r="P454" i="1"/>
  <c r="T453" i="1"/>
  <c r="S453" i="1"/>
  <c r="Q453" i="1"/>
  <c r="P453" i="1"/>
  <c r="T452" i="1"/>
  <c r="S452" i="1"/>
  <c r="Q452" i="1"/>
  <c r="P452" i="1"/>
  <c r="T451" i="1"/>
  <c r="S451" i="1"/>
  <c r="Q451" i="1"/>
  <c r="P451" i="1"/>
  <c r="T450" i="1"/>
  <c r="S450" i="1"/>
  <c r="Q450" i="1"/>
  <c r="P450" i="1"/>
  <c r="T449" i="1"/>
  <c r="S449" i="1"/>
  <c r="Q449" i="1"/>
  <c r="P449" i="1"/>
  <c r="T448" i="1"/>
  <c r="S448" i="1"/>
  <c r="Q448" i="1"/>
  <c r="P448" i="1"/>
  <c r="T447" i="1"/>
  <c r="S447" i="1"/>
  <c r="Q447" i="1"/>
  <c r="P447" i="1"/>
  <c r="T446" i="1"/>
  <c r="S446" i="1"/>
  <c r="Q446" i="1"/>
  <c r="P446" i="1"/>
  <c r="T445" i="1"/>
  <c r="S445" i="1"/>
  <c r="Q445" i="1"/>
  <c r="P445" i="1"/>
  <c r="T444" i="1"/>
  <c r="S444" i="1"/>
  <c r="Q444" i="1"/>
  <c r="P444" i="1"/>
  <c r="T443" i="1"/>
  <c r="S443" i="1"/>
  <c r="Q443" i="1"/>
  <c r="P443" i="1"/>
  <c r="T442" i="1"/>
  <c r="S442" i="1"/>
  <c r="Q442" i="1"/>
  <c r="P442" i="1"/>
  <c r="T441" i="1"/>
  <c r="S441" i="1"/>
  <c r="Q441" i="1"/>
  <c r="P441" i="1"/>
  <c r="T440" i="1"/>
  <c r="S440" i="1"/>
  <c r="Q440" i="1"/>
  <c r="P440" i="1"/>
  <c r="T439" i="1"/>
  <c r="S439" i="1"/>
  <c r="Q439" i="1"/>
  <c r="P439" i="1"/>
  <c r="T438" i="1"/>
  <c r="S438" i="1"/>
  <c r="Q438" i="1"/>
  <c r="P438" i="1"/>
  <c r="T437" i="1"/>
  <c r="S437" i="1"/>
  <c r="Q437" i="1"/>
  <c r="P437" i="1"/>
  <c r="T436" i="1"/>
  <c r="S436" i="1"/>
  <c r="Q436" i="1"/>
  <c r="P436" i="1"/>
  <c r="T435" i="1"/>
  <c r="S435" i="1"/>
  <c r="Q435" i="1"/>
  <c r="P435" i="1"/>
  <c r="T434" i="1"/>
  <c r="S434" i="1"/>
  <c r="Q434" i="1"/>
  <c r="P434" i="1"/>
  <c r="T433" i="1"/>
  <c r="S433" i="1"/>
  <c r="Q433" i="1"/>
  <c r="P433" i="1"/>
  <c r="T432" i="1"/>
  <c r="S432" i="1"/>
  <c r="Q432" i="1"/>
  <c r="P432" i="1"/>
  <c r="T431" i="1"/>
  <c r="S431" i="1"/>
  <c r="Q431" i="1"/>
  <c r="P431" i="1"/>
  <c r="T430" i="1"/>
  <c r="S430" i="1"/>
  <c r="Q430" i="1"/>
  <c r="P430" i="1"/>
  <c r="T429" i="1"/>
  <c r="S429" i="1"/>
  <c r="Q429" i="1"/>
  <c r="P429" i="1"/>
  <c r="T428" i="1"/>
  <c r="S428" i="1"/>
  <c r="Q428" i="1"/>
  <c r="P428" i="1"/>
  <c r="T427" i="1"/>
  <c r="S427" i="1"/>
  <c r="Q427" i="1"/>
  <c r="P427" i="1"/>
  <c r="T426" i="1"/>
  <c r="S426" i="1"/>
  <c r="Q426" i="1"/>
  <c r="P426" i="1"/>
  <c r="T425" i="1"/>
  <c r="S425" i="1"/>
  <c r="Q425" i="1"/>
  <c r="P425" i="1"/>
  <c r="T424" i="1"/>
  <c r="S424" i="1"/>
  <c r="Q424" i="1"/>
  <c r="P424" i="1"/>
  <c r="T423" i="1"/>
  <c r="S423" i="1"/>
  <c r="Q423" i="1"/>
  <c r="P423" i="1"/>
  <c r="T422" i="1"/>
  <c r="S422" i="1"/>
  <c r="Q422" i="1"/>
  <c r="P422" i="1"/>
  <c r="T421" i="1"/>
  <c r="S421" i="1"/>
  <c r="Q421" i="1"/>
  <c r="P421" i="1"/>
  <c r="T420" i="1"/>
  <c r="S420" i="1"/>
  <c r="Q420" i="1"/>
  <c r="P420" i="1"/>
  <c r="T419" i="1"/>
  <c r="S419" i="1"/>
  <c r="Q419" i="1"/>
  <c r="P419" i="1"/>
  <c r="T418" i="1"/>
  <c r="S418" i="1"/>
  <c r="Q418" i="1"/>
  <c r="P418" i="1"/>
  <c r="T417" i="1"/>
  <c r="S417" i="1"/>
  <c r="Q417" i="1"/>
  <c r="P417" i="1"/>
  <c r="T416" i="1"/>
  <c r="S416" i="1"/>
  <c r="Q416" i="1"/>
  <c r="P416" i="1"/>
  <c r="T415" i="1"/>
  <c r="S415" i="1"/>
  <c r="Q415" i="1"/>
  <c r="P415" i="1"/>
  <c r="T414" i="1"/>
  <c r="S414" i="1"/>
  <c r="Q414" i="1"/>
  <c r="P414" i="1"/>
  <c r="T413" i="1"/>
  <c r="S413" i="1"/>
  <c r="Q413" i="1"/>
  <c r="P413" i="1"/>
  <c r="T412" i="1"/>
  <c r="S412" i="1"/>
  <c r="Q412" i="1"/>
  <c r="P412" i="1"/>
  <c r="T411" i="1"/>
  <c r="S411" i="1"/>
  <c r="Q411" i="1"/>
  <c r="P411" i="1"/>
  <c r="T410" i="1"/>
  <c r="S410" i="1"/>
  <c r="Q410" i="1"/>
  <c r="P410" i="1"/>
  <c r="T409" i="1"/>
  <c r="S409" i="1"/>
  <c r="Q409" i="1"/>
  <c r="P409" i="1"/>
  <c r="T408" i="1"/>
  <c r="S408" i="1"/>
  <c r="Q408" i="1"/>
  <c r="P408" i="1"/>
  <c r="T407" i="1"/>
  <c r="S407" i="1"/>
  <c r="Q407" i="1"/>
  <c r="P407" i="1"/>
  <c r="T406" i="1"/>
  <c r="S406" i="1"/>
  <c r="Q406" i="1"/>
  <c r="P406" i="1"/>
  <c r="T405" i="1"/>
  <c r="S405" i="1"/>
  <c r="Q405" i="1"/>
  <c r="P405" i="1"/>
  <c r="T404" i="1"/>
  <c r="S404" i="1"/>
  <c r="Q404" i="1"/>
  <c r="P404" i="1"/>
  <c r="T403" i="1"/>
  <c r="S403" i="1"/>
  <c r="Q403" i="1"/>
  <c r="P403" i="1"/>
  <c r="T402" i="1"/>
  <c r="S402" i="1"/>
  <c r="Q402" i="1"/>
  <c r="P402" i="1"/>
  <c r="T401" i="1"/>
  <c r="S401" i="1"/>
  <c r="Q401" i="1"/>
  <c r="P401" i="1"/>
  <c r="T400" i="1"/>
  <c r="S400" i="1"/>
  <c r="Q400" i="1"/>
  <c r="P400" i="1"/>
  <c r="T399" i="1"/>
  <c r="S399" i="1"/>
  <c r="Q399" i="1"/>
  <c r="P399" i="1"/>
  <c r="T398" i="1"/>
  <c r="S398" i="1"/>
  <c r="Q398" i="1"/>
  <c r="P398" i="1"/>
  <c r="T397" i="1"/>
  <c r="S397" i="1"/>
  <c r="Q397" i="1"/>
  <c r="P397" i="1"/>
  <c r="T396" i="1"/>
  <c r="S396" i="1"/>
  <c r="Q396" i="1"/>
  <c r="P396" i="1"/>
  <c r="T395" i="1"/>
  <c r="S395" i="1"/>
  <c r="Q395" i="1"/>
  <c r="P395" i="1"/>
  <c r="T394" i="1"/>
  <c r="S394" i="1"/>
  <c r="Q394" i="1"/>
  <c r="P394" i="1"/>
  <c r="T393" i="1"/>
  <c r="S393" i="1"/>
  <c r="Q393" i="1"/>
  <c r="P393" i="1"/>
  <c r="T392" i="1"/>
  <c r="S392" i="1"/>
  <c r="Q392" i="1"/>
  <c r="P392" i="1"/>
  <c r="T391" i="1"/>
  <c r="S391" i="1"/>
  <c r="Q391" i="1"/>
  <c r="P391" i="1"/>
  <c r="T390" i="1"/>
  <c r="S390" i="1"/>
  <c r="Q390" i="1"/>
  <c r="P390" i="1"/>
  <c r="T389" i="1"/>
  <c r="S389" i="1"/>
  <c r="Q389" i="1"/>
  <c r="P389" i="1"/>
  <c r="T388" i="1"/>
  <c r="S388" i="1"/>
  <c r="Q388" i="1"/>
  <c r="P388" i="1"/>
  <c r="T387" i="1"/>
  <c r="S387" i="1"/>
  <c r="Q387" i="1"/>
  <c r="P387" i="1"/>
  <c r="T386" i="1"/>
  <c r="S386" i="1"/>
  <c r="Q386" i="1"/>
  <c r="P386" i="1"/>
  <c r="T385" i="1"/>
  <c r="S385" i="1"/>
  <c r="Q385" i="1"/>
  <c r="P385" i="1"/>
  <c r="T384" i="1"/>
  <c r="S384" i="1"/>
  <c r="Q384" i="1"/>
  <c r="P384" i="1"/>
  <c r="T383" i="1"/>
  <c r="S383" i="1"/>
  <c r="Q383" i="1"/>
  <c r="P383" i="1"/>
  <c r="T382" i="1"/>
  <c r="S382" i="1"/>
  <c r="Q382" i="1"/>
  <c r="P382" i="1"/>
  <c r="T381" i="1"/>
  <c r="S381" i="1"/>
  <c r="Q381" i="1"/>
  <c r="P381" i="1"/>
  <c r="T380" i="1"/>
  <c r="S380" i="1"/>
  <c r="Q380" i="1"/>
  <c r="P380" i="1"/>
  <c r="T379" i="1"/>
  <c r="S379" i="1"/>
  <c r="Q379" i="1"/>
  <c r="P379" i="1"/>
  <c r="T378" i="1"/>
  <c r="S378" i="1"/>
  <c r="Q378" i="1"/>
  <c r="P378" i="1"/>
  <c r="T377" i="1"/>
  <c r="S377" i="1"/>
  <c r="Q377" i="1"/>
  <c r="P377" i="1"/>
  <c r="T376" i="1"/>
  <c r="S376" i="1"/>
  <c r="Q376" i="1"/>
  <c r="P376" i="1"/>
  <c r="T375" i="1"/>
  <c r="S375" i="1"/>
  <c r="Q375" i="1"/>
  <c r="P375" i="1"/>
  <c r="T374" i="1"/>
  <c r="S374" i="1"/>
  <c r="Q374" i="1"/>
  <c r="P374" i="1"/>
  <c r="T373" i="1"/>
  <c r="S373" i="1"/>
  <c r="Q373" i="1"/>
  <c r="P373" i="1"/>
  <c r="T372" i="1"/>
  <c r="S372" i="1"/>
  <c r="Q372" i="1"/>
  <c r="P372" i="1"/>
  <c r="T371" i="1"/>
  <c r="S371" i="1"/>
  <c r="Q371" i="1"/>
  <c r="P371" i="1"/>
  <c r="T370" i="1"/>
  <c r="S370" i="1"/>
  <c r="Q370" i="1"/>
  <c r="P370" i="1"/>
  <c r="T369" i="1"/>
  <c r="S369" i="1"/>
  <c r="Q369" i="1"/>
  <c r="P369" i="1"/>
  <c r="T368" i="1"/>
  <c r="S368" i="1"/>
  <c r="Q368" i="1"/>
  <c r="P368" i="1"/>
  <c r="T367" i="1"/>
  <c r="S367" i="1"/>
  <c r="Q367" i="1"/>
  <c r="P367" i="1"/>
  <c r="T366" i="1"/>
  <c r="S366" i="1"/>
  <c r="Q366" i="1"/>
  <c r="P366" i="1"/>
  <c r="T365" i="1"/>
  <c r="S365" i="1"/>
  <c r="Q365" i="1"/>
  <c r="P365" i="1"/>
  <c r="T364" i="1"/>
  <c r="S364" i="1"/>
  <c r="Q364" i="1"/>
  <c r="P364" i="1"/>
  <c r="T363" i="1"/>
  <c r="S363" i="1"/>
  <c r="Q363" i="1"/>
  <c r="P363" i="1"/>
  <c r="T362" i="1"/>
  <c r="S362" i="1"/>
  <c r="Q362" i="1"/>
  <c r="P362" i="1"/>
  <c r="T361" i="1"/>
  <c r="S361" i="1"/>
  <c r="Q361" i="1"/>
  <c r="P361" i="1"/>
  <c r="T360" i="1"/>
  <c r="S360" i="1"/>
  <c r="Q360" i="1"/>
  <c r="P360" i="1"/>
  <c r="T359" i="1"/>
  <c r="S359" i="1"/>
  <c r="Q359" i="1"/>
  <c r="P359" i="1"/>
  <c r="T358" i="1"/>
  <c r="S358" i="1"/>
  <c r="Q358" i="1"/>
  <c r="P358" i="1"/>
  <c r="T357" i="1"/>
  <c r="S357" i="1"/>
  <c r="Q357" i="1"/>
  <c r="P357" i="1"/>
  <c r="T356" i="1"/>
  <c r="S356" i="1"/>
  <c r="Q356" i="1"/>
  <c r="P356" i="1"/>
  <c r="T355" i="1"/>
  <c r="S355" i="1"/>
  <c r="Q355" i="1"/>
  <c r="P355" i="1"/>
  <c r="T354" i="1"/>
  <c r="S354" i="1"/>
  <c r="Q354" i="1"/>
  <c r="P354" i="1"/>
  <c r="T353" i="1"/>
  <c r="S353" i="1"/>
  <c r="Q353" i="1"/>
  <c r="P353" i="1"/>
  <c r="T352" i="1"/>
  <c r="S352" i="1"/>
  <c r="Q352" i="1"/>
  <c r="P352" i="1"/>
  <c r="T351" i="1"/>
  <c r="S351" i="1"/>
  <c r="Q351" i="1"/>
  <c r="P351" i="1"/>
  <c r="T350" i="1"/>
  <c r="S350" i="1"/>
  <c r="Q350" i="1"/>
  <c r="P350" i="1"/>
  <c r="T349" i="1"/>
  <c r="S349" i="1"/>
  <c r="Q349" i="1"/>
  <c r="P349" i="1"/>
  <c r="T348" i="1"/>
  <c r="S348" i="1"/>
  <c r="Q348" i="1"/>
  <c r="P348" i="1"/>
  <c r="T347" i="1"/>
  <c r="S347" i="1"/>
  <c r="Q347" i="1"/>
  <c r="P347" i="1"/>
  <c r="T346" i="1"/>
  <c r="S346" i="1"/>
  <c r="Q346" i="1"/>
  <c r="P346" i="1"/>
  <c r="T345" i="1"/>
  <c r="S345" i="1"/>
  <c r="Q345" i="1"/>
  <c r="P345" i="1"/>
  <c r="T344" i="1"/>
  <c r="S344" i="1"/>
  <c r="Q344" i="1"/>
  <c r="P344" i="1"/>
  <c r="T343" i="1"/>
  <c r="S343" i="1"/>
  <c r="Q343" i="1"/>
  <c r="P343" i="1"/>
  <c r="T342" i="1"/>
  <c r="S342" i="1"/>
  <c r="Q342" i="1"/>
  <c r="P342" i="1"/>
  <c r="T341" i="1"/>
  <c r="S341" i="1"/>
  <c r="Q341" i="1"/>
  <c r="P341" i="1"/>
  <c r="T340" i="1"/>
  <c r="S340" i="1"/>
  <c r="Q340" i="1"/>
  <c r="P340" i="1"/>
  <c r="T339" i="1"/>
  <c r="S339" i="1"/>
  <c r="Q339" i="1"/>
  <c r="P339" i="1"/>
  <c r="T338" i="1"/>
  <c r="S338" i="1"/>
  <c r="Q338" i="1"/>
  <c r="P338" i="1"/>
  <c r="T337" i="1"/>
  <c r="S337" i="1"/>
  <c r="Q337" i="1"/>
  <c r="P337" i="1"/>
  <c r="T336" i="1"/>
  <c r="S336" i="1"/>
  <c r="Q336" i="1"/>
  <c r="P336" i="1"/>
  <c r="T335" i="1"/>
  <c r="S335" i="1"/>
  <c r="Q335" i="1"/>
  <c r="P335" i="1"/>
  <c r="T334" i="1"/>
  <c r="S334" i="1"/>
  <c r="Q334" i="1"/>
  <c r="P334" i="1"/>
  <c r="T333" i="1"/>
  <c r="S333" i="1"/>
  <c r="Q333" i="1"/>
  <c r="P333" i="1"/>
  <c r="T332" i="1"/>
  <c r="S332" i="1"/>
  <c r="Q332" i="1"/>
  <c r="P332" i="1"/>
  <c r="T331" i="1"/>
  <c r="S331" i="1"/>
  <c r="Q331" i="1"/>
  <c r="P331" i="1"/>
  <c r="T330" i="1"/>
  <c r="S330" i="1"/>
  <c r="Q330" i="1"/>
  <c r="P330" i="1"/>
  <c r="T329" i="1"/>
  <c r="S329" i="1"/>
  <c r="Q329" i="1"/>
  <c r="P329" i="1"/>
  <c r="T328" i="1"/>
  <c r="S328" i="1"/>
  <c r="Q328" i="1"/>
  <c r="P328" i="1"/>
  <c r="T327" i="1"/>
  <c r="S327" i="1"/>
  <c r="Q327" i="1"/>
  <c r="P327" i="1"/>
  <c r="T326" i="1"/>
  <c r="S326" i="1"/>
  <c r="Q326" i="1"/>
  <c r="P326" i="1"/>
  <c r="T325" i="1"/>
  <c r="S325" i="1"/>
  <c r="Q325" i="1"/>
  <c r="P325" i="1"/>
  <c r="T324" i="1"/>
  <c r="S324" i="1"/>
  <c r="Q324" i="1"/>
  <c r="P324" i="1"/>
  <c r="T323" i="1"/>
  <c r="S323" i="1"/>
  <c r="Q323" i="1"/>
  <c r="P323" i="1"/>
  <c r="T322" i="1"/>
  <c r="S322" i="1"/>
  <c r="Q322" i="1"/>
  <c r="P322" i="1"/>
  <c r="T321" i="1"/>
  <c r="S321" i="1"/>
  <c r="Q321" i="1"/>
  <c r="P321" i="1"/>
  <c r="T320" i="1"/>
  <c r="S320" i="1"/>
  <c r="Q320" i="1"/>
  <c r="P320" i="1"/>
  <c r="T319" i="1"/>
  <c r="S319" i="1"/>
  <c r="Q319" i="1"/>
  <c r="P319" i="1"/>
  <c r="T318" i="1"/>
  <c r="S318" i="1"/>
  <c r="Q318" i="1"/>
  <c r="P318" i="1"/>
  <c r="T317" i="1"/>
  <c r="S317" i="1"/>
  <c r="Q317" i="1"/>
  <c r="P317" i="1"/>
  <c r="T316" i="1"/>
  <c r="S316" i="1"/>
  <c r="Q316" i="1"/>
  <c r="P316" i="1"/>
  <c r="T315" i="1"/>
  <c r="S315" i="1"/>
  <c r="Q315" i="1"/>
  <c r="P315" i="1"/>
  <c r="T314" i="1"/>
  <c r="S314" i="1"/>
  <c r="Q314" i="1"/>
  <c r="P314" i="1"/>
  <c r="T313" i="1"/>
  <c r="S313" i="1"/>
  <c r="Q313" i="1"/>
  <c r="P313" i="1"/>
  <c r="T312" i="1"/>
  <c r="S312" i="1"/>
  <c r="Q312" i="1"/>
  <c r="P312" i="1"/>
  <c r="T311" i="1"/>
  <c r="S311" i="1"/>
  <c r="Q311" i="1"/>
  <c r="P311" i="1"/>
  <c r="T310" i="1"/>
  <c r="S310" i="1"/>
  <c r="Q310" i="1"/>
  <c r="P310" i="1"/>
  <c r="T309" i="1"/>
  <c r="S309" i="1"/>
  <c r="Q309" i="1"/>
  <c r="P309" i="1"/>
  <c r="T308" i="1"/>
  <c r="S308" i="1"/>
  <c r="Q308" i="1"/>
  <c r="P308" i="1"/>
  <c r="T307" i="1"/>
  <c r="S307" i="1"/>
  <c r="Q307" i="1"/>
  <c r="P307" i="1"/>
  <c r="T306" i="1"/>
  <c r="S306" i="1"/>
  <c r="Q306" i="1"/>
  <c r="P306" i="1"/>
  <c r="T305" i="1"/>
  <c r="S305" i="1"/>
  <c r="Q305" i="1"/>
  <c r="P305" i="1"/>
  <c r="T304" i="1"/>
  <c r="S304" i="1"/>
  <c r="Q304" i="1"/>
  <c r="P304" i="1"/>
  <c r="T303" i="1"/>
  <c r="S303" i="1"/>
  <c r="Q303" i="1"/>
  <c r="P303" i="1"/>
  <c r="T302" i="1"/>
  <c r="S302" i="1"/>
  <c r="Q302" i="1"/>
  <c r="P302" i="1"/>
  <c r="T301" i="1"/>
  <c r="S301" i="1"/>
  <c r="Q301" i="1"/>
  <c r="P301" i="1"/>
  <c r="T300" i="1"/>
  <c r="S300" i="1"/>
  <c r="Q300" i="1"/>
  <c r="P300" i="1"/>
  <c r="T299" i="1"/>
  <c r="S299" i="1"/>
  <c r="Q299" i="1"/>
  <c r="P299" i="1"/>
  <c r="T298" i="1"/>
  <c r="S298" i="1"/>
  <c r="Q298" i="1"/>
  <c r="P298" i="1"/>
  <c r="T297" i="1"/>
  <c r="S297" i="1"/>
  <c r="Q297" i="1"/>
  <c r="P297" i="1"/>
  <c r="T296" i="1"/>
  <c r="S296" i="1"/>
  <c r="Q296" i="1"/>
  <c r="P296" i="1"/>
  <c r="T295" i="1"/>
  <c r="S295" i="1"/>
  <c r="Q295" i="1"/>
  <c r="P295" i="1"/>
  <c r="T294" i="1"/>
  <c r="S294" i="1"/>
  <c r="Q294" i="1"/>
  <c r="P294" i="1"/>
  <c r="T293" i="1"/>
  <c r="S293" i="1"/>
  <c r="Q293" i="1"/>
  <c r="P293" i="1"/>
  <c r="T292" i="1"/>
  <c r="S292" i="1"/>
  <c r="Q292" i="1"/>
  <c r="P292" i="1"/>
  <c r="T291" i="1"/>
  <c r="S291" i="1"/>
  <c r="Q291" i="1"/>
  <c r="P291" i="1"/>
  <c r="T290" i="1"/>
  <c r="S290" i="1"/>
  <c r="Q290" i="1"/>
  <c r="P290" i="1"/>
  <c r="T289" i="1"/>
  <c r="S289" i="1"/>
  <c r="Q289" i="1"/>
  <c r="P289" i="1"/>
  <c r="T288" i="1"/>
  <c r="S288" i="1"/>
  <c r="Q288" i="1"/>
  <c r="P288" i="1"/>
  <c r="T287" i="1"/>
  <c r="S287" i="1"/>
  <c r="Q287" i="1"/>
  <c r="P287" i="1"/>
  <c r="T286" i="1"/>
  <c r="S286" i="1"/>
  <c r="Q286" i="1"/>
  <c r="P286" i="1"/>
  <c r="T285" i="1"/>
  <c r="S285" i="1"/>
  <c r="Q285" i="1"/>
  <c r="P285" i="1"/>
  <c r="T284" i="1"/>
  <c r="S284" i="1"/>
  <c r="Q284" i="1"/>
  <c r="P284" i="1"/>
  <c r="T283" i="1"/>
  <c r="S283" i="1"/>
  <c r="Q283" i="1"/>
  <c r="P283" i="1"/>
  <c r="T282" i="1"/>
  <c r="S282" i="1"/>
  <c r="Q282" i="1"/>
  <c r="P282" i="1"/>
  <c r="T281" i="1"/>
  <c r="S281" i="1"/>
  <c r="Q281" i="1"/>
  <c r="P281" i="1"/>
  <c r="T280" i="1"/>
  <c r="S280" i="1"/>
  <c r="Q280" i="1"/>
  <c r="P280" i="1"/>
  <c r="T279" i="1"/>
  <c r="S279" i="1"/>
  <c r="Q279" i="1"/>
  <c r="P279" i="1"/>
  <c r="T278" i="1"/>
  <c r="S278" i="1"/>
  <c r="Q278" i="1"/>
  <c r="P278" i="1"/>
  <c r="T277" i="1"/>
  <c r="S277" i="1"/>
  <c r="Q277" i="1"/>
  <c r="P277" i="1"/>
  <c r="T276" i="1"/>
  <c r="S276" i="1"/>
  <c r="Q276" i="1"/>
  <c r="P276" i="1"/>
  <c r="T275" i="1"/>
  <c r="S275" i="1"/>
  <c r="Q275" i="1"/>
  <c r="P275" i="1"/>
  <c r="T274" i="1"/>
  <c r="S274" i="1"/>
  <c r="Q274" i="1"/>
  <c r="P274" i="1"/>
  <c r="T273" i="1"/>
  <c r="S273" i="1"/>
  <c r="Q273" i="1"/>
  <c r="P273" i="1"/>
  <c r="T272" i="1"/>
  <c r="S272" i="1"/>
  <c r="Q272" i="1"/>
  <c r="P272" i="1"/>
  <c r="T271" i="1"/>
  <c r="S271" i="1"/>
  <c r="Q271" i="1"/>
  <c r="P271" i="1"/>
  <c r="T270" i="1"/>
  <c r="S270" i="1"/>
  <c r="Q270" i="1"/>
  <c r="P270" i="1"/>
  <c r="T269" i="1"/>
  <c r="S269" i="1"/>
  <c r="Q269" i="1"/>
  <c r="P269" i="1"/>
  <c r="T268" i="1"/>
  <c r="S268" i="1"/>
  <c r="Q268" i="1"/>
  <c r="P268" i="1"/>
  <c r="T267" i="1"/>
  <c r="S267" i="1"/>
  <c r="Q267" i="1"/>
  <c r="P267" i="1"/>
  <c r="T266" i="1"/>
  <c r="S266" i="1"/>
  <c r="Q266" i="1"/>
  <c r="P266" i="1"/>
  <c r="T265" i="1"/>
  <c r="S265" i="1"/>
  <c r="Q265" i="1"/>
  <c r="P265" i="1"/>
  <c r="T264" i="1"/>
  <c r="S264" i="1"/>
  <c r="Q264" i="1"/>
  <c r="P264" i="1"/>
  <c r="T263" i="1"/>
  <c r="S263" i="1"/>
  <c r="Q263" i="1"/>
  <c r="P263" i="1"/>
  <c r="T262" i="1"/>
  <c r="S262" i="1"/>
  <c r="Q262" i="1"/>
  <c r="P262" i="1"/>
  <c r="T261" i="1"/>
  <c r="S261" i="1"/>
  <c r="Q261" i="1"/>
  <c r="P261" i="1"/>
  <c r="T260" i="1"/>
  <c r="S260" i="1"/>
  <c r="Q260" i="1"/>
  <c r="P260" i="1"/>
  <c r="T259" i="1"/>
  <c r="S259" i="1"/>
  <c r="Q259" i="1"/>
  <c r="P259" i="1"/>
  <c r="T258" i="1"/>
  <c r="S258" i="1"/>
  <c r="Q258" i="1"/>
  <c r="P258" i="1"/>
  <c r="T257" i="1"/>
  <c r="S257" i="1"/>
  <c r="Q257" i="1"/>
  <c r="P257" i="1"/>
  <c r="T256" i="1"/>
  <c r="S256" i="1"/>
  <c r="Q256" i="1"/>
  <c r="P256" i="1"/>
  <c r="T255" i="1"/>
  <c r="S255" i="1"/>
  <c r="Q255" i="1"/>
  <c r="P255" i="1"/>
  <c r="T254" i="1"/>
  <c r="S254" i="1"/>
  <c r="Q254" i="1"/>
  <c r="P254" i="1"/>
  <c r="T253" i="1"/>
  <c r="S253" i="1"/>
  <c r="Q253" i="1"/>
  <c r="P253" i="1"/>
  <c r="T252" i="1"/>
  <c r="S252" i="1"/>
  <c r="Q252" i="1"/>
  <c r="P252" i="1"/>
  <c r="T251" i="1"/>
  <c r="S251" i="1"/>
  <c r="Q251" i="1"/>
  <c r="P251" i="1"/>
  <c r="T250" i="1"/>
  <c r="S250" i="1"/>
  <c r="Q250" i="1"/>
  <c r="P250" i="1"/>
  <c r="T249" i="1"/>
  <c r="S249" i="1"/>
  <c r="Q249" i="1"/>
  <c r="P249" i="1"/>
  <c r="T248" i="1"/>
  <c r="S248" i="1"/>
  <c r="Q248" i="1"/>
  <c r="P248" i="1"/>
  <c r="T247" i="1"/>
  <c r="S247" i="1"/>
  <c r="Q247" i="1"/>
  <c r="P247" i="1"/>
  <c r="T246" i="1"/>
  <c r="S246" i="1"/>
  <c r="Q246" i="1"/>
  <c r="P246" i="1"/>
  <c r="T245" i="1"/>
  <c r="S245" i="1"/>
  <c r="Q245" i="1"/>
  <c r="P245" i="1"/>
  <c r="T244" i="1"/>
  <c r="S244" i="1"/>
  <c r="Q244" i="1"/>
  <c r="P244" i="1"/>
  <c r="T243" i="1"/>
  <c r="S243" i="1"/>
  <c r="Q243" i="1"/>
  <c r="P243" i="1"/>
  <c r="T242" i="1"/>
  <c r="S242" i="1"/>
  <c r="Q242" i="1"/>
  <c r="P242" i="1"/>
  <c r="T241" i="1"/>
  <c r="S241" i="1"/>
  <c r="Q241" i="1"/>
  <c r="P241" i="1"/>
  <c r="T240" i="1"/>
  <c r="S240" i="1"/>
  <c r="Q240" i="1"/>
  <c r="P240" i="1"/>
  <c r="T239" i="1"/>
  <c r="S239" i="1"/>
  <c r="Q239" i="1"/>
  <c r="P239" i="1"/>
  <c r="T238" i="1"/>
  <c r="S238" i="1"/>
  <c r="Q238" i="1"/>
  <c r="P238" i="1"/>
  <c r="T237" i="1"/>
  <c r="S237" i="1"/>
  <c r="Q237" i="1"/>
  <c r="P237" i="1"/>
  <c r="T236" i="1"/>
  <c r="S236" i="1"/>
  <c r="Q236" i="1"/>
  <c r="P236" i="1"/>
  <c r="T235" i="1"/>
  <c r="S235" i="1"/>
  <c r="Q235" i="1"/>
  <c r="P235" i="1"/>
  <c r="T234" i="1"/>
  <c r="S234" i="1"/>
  <c r="Q234" i="1"/>
  <c r="P234" i="1"/>
  <c r="T233" i="1"/>
  <c r="S233" i="1"/>
  <c r="Q233" i="1"/>
  <c r="P233" i="1"/>
  <c r="T232" i="1"/>
  <c r="S232" i="1"/>
  <c r="Q232" i="1"/>
  <c r="P232" i="1"/>
  <c r="T231" i="1"/>
  <c r="S231" i="1"/>
  <c r="Q231" i="1"/>
  <c r="P231" i="1"/>
  <c r="T230" i="1"/>
  <c r="S230" i="1"/>
  <c r="Q230" i="1"/>
  <c r="P230" i="1"/>
  <c r="T229" i="1"/>
  <c r="S229" i="1"/>
  <c r="Q229" i="1"/>
  <c r="P229" i="1"/>
  <c r="T228" i="1"/>
  <c r="S228" i="1"/>
  <c r="Q228" i="1"/>
  <c r="P228" i="1"/>
  <c r="T227" i="1"/>
  <c r="S227" i="1"/>
  <c r="Q227" i="1"/>
  <c r="P227" i="1"/>
  <c r="T226" i="1"/>
  <c r="S226" i="1"/>
  <c r="Q226" i="1"/>
  <c r="P226" i="1"/>
  <c r="T225" i="1"/>
  <c r="S225" i="1"/>
  <c r="Q225" i="1"/>
  <c r="P225" i="1"/>
  <c r="T224" i="1"/>
  <c r="S224" i="1"/>
  <c r="Q224" i="1"/>
  <c r="P224" i="1"/>
  <c r="T223" i="1"/>
  <c r="S223" i="1"/>
  <c r="Q223" i="1"/>
  <c r="P223" i="1"/>
  <c r="T222" i="1"/>
  <c r="S222" i="1"/>
  <c r="Q222" i="1"/>
  <c r="P222" i="1"/>
  <c r="T221" i="1"/>
  <c r="S221" i="1"/>
  <c r="Q221" i="1"/>
  <c r="P221" i="1"/>
  <c r="T220" i="1"/>
  <c r="S220" i="1"/>
  <c r="Q220" i="1"/>
  <c r="P220" i="1"/>
  <c r="T219" i="1"/>
  <c r="S219" i="1"/>
  <c r="Q219" i="1"/>
  <c r="P219" i="1"/>
  <c r="T218" i="1"/>
  <c r="S218" i="1"/>
  <c r="Q218" i="1"/>
  <c r="P218" i="1"/>
  <c r="T217" i="1"/>
  <c r="S217" i="1"/>
  <c r="Q217" i="1"/>
  <c r="P217" i="1"/>
  <c r="T216" i="1"/>
  <c r="S216" i="1"/>
  <c r="Q216" i="1"/>
  <c r="P216" i="1"/>
  <c r="T215" i="1"/>
  <c r="S215" i="1"/>
  <c r="Q215" i="1"/>
  <c r="P215" i="1"/>
  <c r="T214" i="1"/>
  <c r="S214" i="1"/>
  <c r="Q214" i="1"/>
  <c r="P214" i="1"/>
  <c r="T213" i="1"/>
  <c r="S213" i="1"/>
  <c r="Q213" i="1"/>
  <c r="P213" i="1"/>
  <c r="T212" i="1"/>
  <c r="S212" i="1"/>
  <c r="Q212" i="1"/>
  <c r="P212" i="1"/>
  <c r="T211" i="1"/>
  <c r="S211" i="1"/>
  <c r="Q211" i="1"/>
  <c r="P211" i="1"/>
  <c r="T210" i="1"/>
  <c r="S210" i="1"/>
  <c r="Q210" i="1"/>
  <c r="P210" i="1"/>
  <c r="T209" i="1"/>
  <c r="S209" i="1"/>
  <c r="Q209" i="1"/>
  <c r="P209" i="1"/>
  <c r="T208" i="1"/>
  <c r="S208" i="1"/>
  <c r="Q208" i="1"/>
  <c r="P208" i="1"/>
  <c r="T207" i="1"/>
  <c r="S207" i="1"/>
  <c r="Q207" i="1"/>
  <c r="P207" i="1"/>
  <c r="T206" i="1"/>
  <c r="S206" i="1"/>
  <c r="Q206" i="1"/>
  <c r="P206" i="1"/>
  <c r="T205" i="1"/>
  <c r="S205" i="1"/>
  <c r="Q205" i="1"/>
  <c r="P205" i="1"/>
  <c r="T204" i="1"/>
  <c r="S204" i="1"/>
  <c r="Q204" i="1"/>
  <c r="P204" i="1"/>
  <c r="T203" i="1"/>
  <c r="S203" i="1"/>
  <c r="Q203" i="1"/>
  <c r="P203" i="1"/>
  <c r="T202" i="1"/>
  <c r="S202" i="1"/>
  <c r="Q202" i="1"/>
  <c r="P202" i="1"/>
  <c r="T201" i="1"/>
  <c r="S201" i="1"/>
  <c r="Q201" i="1"/>
  <c r="P201" i="1"/>
  <c r="T200" i="1"/>
  <c r="S200" i="1"/>
  <c r="Q200" i="1"/>
  <c r="P200" i="1"/>
  <c r="T199" i="1"/>
  <c r="S199" i="1"/>
  <c r="Q199" i="1"/>
  <c r="P199" i="1"/>
  <c r="T198" i="1"/>
  <c r="S198" i="1"/>
  <c r="Q198" i="1"/>
  <c r="P198" i="1"/>
  <c r="T197" i="1"/>
  <c r="S197" i="1"/>
  <c r="Q197" i="1"/>
  <c r="P197" i="1"/>
  <c r="T196" i="1"/>
  <c r="S196" i="1"/>
  <c r="Q196" i="1"/>
  <c r="P196" i="1"/>
  <c r="T195" i="1"/>
  <c r="S195" i="1"/>
  <c r="Q195" i="1"/>
  <c r="P195" i="1"/>
  <c r="T194" i="1"/>
  <c r="S194" i="1"/>
  <c r="Q194" i="1"/>
  <c r="P194" i="1"/>
  <c r="T193" i="1"/>
  <c r="S193" i="1"/>
  <c r="Q193" i="1"/>
  <c r="P193" i="1"/>
  <c r="T192" i="1"/>
  <c r="S192" i="1"/>
  <c r="Q192" i="1"/>
  <c r="P192" i="1"/>
  <c r="T191" i="1"/>
  <c r="S191" i="1"/>
  <c r="Q191" i="1"/>
  <c r="P191" i="1"/>
  <c r="T190" i="1"/>
  <c r="S190" i="1"/>
  <c r="Q190" i="1"/>
  <c r="P190" i="1"/>
  <c r="T189" i="1"/>
  <c r="S189" i="1"/>
  <c r="Q189" i="1"/>
  <c r="P189" i="1"/>
  <c r="T188" i="1"/>
  <c r="S188" i="1"/>
  <c r="Q188" i="1"/>
  <c r="P188" i="1"/>
  <c r="T187" i="1"/>
  <c r="S187" i="1"/>
  <c r="Q187" i="1"/>
  <c r="P187" i="1"/>
  <c r="T186" i="1"/>
  <c r="S186" i="1"/>
  <c r="Q186" i="1"/>
  <c r="P186" i="1"/>
  <c r="T185" i="1"/>
  <c r="S185" i="1"/>
  <c r="Q185" i="1"/>
  <c r="P185" i="1"/>
  <c r="T184" i="1"/>
  <c r="S184" i="1"/>
  <c r="Q184" i="1"/>
  <c r="P184" i="1"/>
  <c r="T183" i="1"/>
  <c r="S183" i="1"/>
  <c r="Q183" i="1"/>
  <c r="P183" i="1"/>
  <c r="T182" i="1"/>
  <c r="S182" i="1"/>
  <c r="Q182" i="1"/>
  <c r="P182" i="1"/>
  <c r="T181" i="1"/>
  <c r="S181" i="1"/>
  <c r="Q181" i="1"/>
  <c r="P181" i="1"/>
  <c r="T180" i="1"/>
  <c r="S180" i="1"/>
  <c r="Q180" i="1"/>
  <c r="P180" i="1"/>
  <c r="T179" i="1"/>
  <c r="S179" i="1"/>
  <c r="Q179" i="1"/>
  <c r="P179" i="1"/>
  <c r="T178" i="1"/>
  <c r="S178" i="1"/>
  <c r="Q178" i="1"/>
  <c r="P178" i="1"/>
  <c r="T177" i="1"/>
  <c r="S177" i="1"/>
  <c r="Q177" i="1"/>
  <c r="P177" i="1"/>
  <c r="T176" i="1"/>
  <c r="S176" i="1"/>
  <c r="Q176" i="1"/>
  <c r="P176" i="1"/>
  <c r="T175" i="1"/>
  <c r="S175" i="1"/>
  <c r="Q175" i="1"/>
  <c r="P175" i="1"/>
  <c r="T174" i="1"/>
  <c r="S174" i="1"/>
  <c r="Q174" i="1"/>
  <c r="P174" i="1"/>
  <c r="T173" i="1"/>
  <c r="S173" i="1"/>
  <c r="Q173" i="1"/>
  <c r="P173" i="1"/>
  <c r="T172" i="1"/>
  <c r="S172" i="1"/>
  <c r="Q172" i="1"/>
  <c r="P172" i="1"/>
  <c r="T171" i="1"/>
  <c r="S171" i="1"/>
  <c r="Q171" i="1"/>
  <c r="P171" i="1"/>
  <c r="T170" i="1"/>
  <c r="S170" i="1"/>
  <c r="Q170" i="1"/>
  <c r="P170" i="1"/>
  <c r="T169" i="1"/>
  <c r="S169" i="1"/>
  <c r="Q169" i="1"/>
  <c r="P169" i="1"/>
  <c r="T168" i="1"/>
  <c r="S168" i="1"/>
  <c r="Q168" i="1"/>
  <c r="P168" i="1"/>
  <c r="T167" i="1"/>
  <c r="S167" i="1"/>
  <c r="Q167" i="1"/>
  <c r="P167" i="1"/>
  <c r="T166" i="1"/>
  <c r="S166" i="1"/>
  <c r="Q166" i="1"/>
  <c r="P166" i="1"/>
  <c r="T165" i="1"/>
  <c r="S165" i="1"/>
  <c r="Q165" i="1"/>
  <c r="P165" i="1"/>
  <c r="T164" i="1"/>
  <c r="S164" i="1"/>
  <c r="Q164" i="1"/>
  <c r="P164" i="1"/>
  <c r="T163" i="1"/>
  <c r="S163" i="1"/>
  <c r="Q163" i="1"/>
  <c r="P163" i="1"/>
  <c r="T162" i="1"/>
  <c r="S162" i="1"/>
  <c r="Q162" i="1"/>
  <c r="P162" i="1"/>
  <c r="T161" i="1"/>
  <c r="S161" i="1"/>
  <c r="Q161" i="1"/>
  <c r="P161" i="1"/>
  <c r="T160" i="1"/>
  <c r="S160" i="1"/>
  <c r="Q160" i="1"/>
  <c r="P160" i="1"/>
  <c r="T159" i="1"/>
  <c r="S159" i="1"/>
  <c r="Q159" i="1"/>
  <c r="P159" i="1"/>
  <c r="T158" i="1"/>
  <c r="S158" i="1"/>
  <c r="Q158" i="1"/>
  <c r="P158" i="1"/>
  <c r="T157" i="1"/>
  <c r="S157" i="1"/>
  <c r="Q157" i="1"/>
  <c r="P157" i="1"/>
  <c r="T156" i="1"/>
  <c r="S156" i="1"/>
  <c r="Q156" i="1"/>
  <c r="P156" i="1"/>
  <c r="T155" i="1"/>
  <c r="S155" i="1"/>
  <c r="Q155" i="1"/>
  <c r="P155" i="1"/>
  <c r="T154" i="1"/>
  <c r="S154" i="1"/>
  <c r="Q154" i="1"/>
  <c r="P154" i="1"/>
  <c r="T153" i="1"/>
  <c r="S153" i="1"/>
  <c r="Q153" i="1"/>
  <c r="P153" i="1"/>
  <c r="T152" i="1"/>
  <c r="S152" i="1"/>
  <c r="Q152" i="1"/>
  <c r="P152" i="1"/>
  <c r="T151" i="1"/>
  <c r="S151" i="1"/>
  <c r="Q151" i="1"/>
  <c r="P151" i="1"/>
  <c r="T150" i="1"/>
  <c r="S150" i="1"/>
  <c r="Q150" i="1"/>
  <c r="P150" i="1"/>
  <c r="T149" i="1"/>
  <c r="S149" i="1"/>
  <c r="Q149" i="1"/>
  <c r="P149" i="1"/>
  <c r="T148" i="1"/>
  <c r="S148" i="1"/>
  <c r="Q148" i="1"/>
  <c r="P148" i="1"/>
  <c r="T147" i="1"/>
  <c r="S147" i="1"/>
  <c r="Q147" i="1"/>
  <c r="P147" i="1"/>
  <c r="T146" i="1"/>
  <c r="S146" i="1"/>
  <c r="Q146" i="1"/>
  <c r="P146" i="1"/>
  <c r="T145" i="1"/>
  <c r="S145" i="1"/>
  <c r="Q145" i="1"/>
  <c r="P145" i="1"/>
  <c r="T144" i="1"/>
  <c r="S144" i="1"/>
  <c r="Q144" i="1"/>
  <c r="P144" i="1"/>
  <c r="T143" i="1"/>
  <c r="S143" i="1"/>
  <c r="Q143" i="1"/>
  <c r="P143" i="1"/>
  <c r="T142" i="1"/>
  <c r="S142" i="1"/>
  <c r="Q142" i="1"/>
  <c r="P142" i="1"/>
  <c r="T141" i="1"/>
  <c r="S141" i="1"/>
  <c r="Q141" i="1"/>
  <c r="P141" i="1"/>
  <c r="T140" i="1"/>
  <c r="S140" i="1"/>
  <c r="Q140" i="1"/>
  <c r="P140" i="1"/>
  <c r="T139" i="1"/>
  <c r="S139" i="1"/>
  <c r="Q139" i="1"/>
  <c r="P139" i="1"/>
  <c r="T138" i="1"/>
  <c r="S138" i="1"/>
  <c r="Q138" i="1"/>
  <c r="P138" i="1"/>
  <c r="T137" i="1"/>
  <c r="S137" i="1"/>
  <c r="Q137" i="1"/>
  <c r="P137" i="1"/>
  <c r="T136" i="1"/>
  <c r="S136" i="1"/>
  <c r="Q136" i="1"/>
  <c r="P136" i="1"/>
  <c r="T135" i="1"/>
  <c r="S135" i="1"/>
  <c r="Q135" i="1"/>
  <c r="P135" i="1"/>
  <c r="T134" i="1"/>
  <c r="S134" i="1"/>
  <c r="Q134" i="1"/>
  <c r="P134" i="1"/>
  <c r="T133" i="1"/>
  <c r="S133" i="1"/>
  <c r="Q133" i="1"/>
  <c r="P133" i="1"/>
  <c r="T132" i="1"/>
  <c r="S132" i="1"/>
  <c r="Q132" i="1"/>
  <c r="P132" i="1"/>
  <c r="T131" i="1"/>
  <c r="S131" i="1"/>
  <c r="Q131" i="1"/>
  <c r="P131" i="1"/>
  <c r="T130" i="1"/>
  <c r="S130" i="1"/>
  <c r="Q130" i="1"/>
  <c r="P130" i="1"/>
  <c r="T129" i="1"/>
  <c r="S129" i="1"/>
  <c r="Q129" i="1"/>
  <c r="P129" i="1"/>
  <c r="T128" i="1"/>
  <c r="S128" i="1"/>
  <c r="Q128" i="1"/>
  <c r="P128" i="1"/>
  <c r="T127" i="1"/>
  <c r="S127" i="1"/>
  <c r="Q127" i="1"/>
  <c r="P127" i="1"/>
  <c r="T126" i="1"/>
  <c r="S126" i="1"/>
  <c r="Q126" i="1"/>
  <c r="P126" i="1"/>
  <c r="T125" i="1"/>
  <c r="S125" i="1"/>
  <c r="Q125" i="1"/>
  <c r="P125" i="1"/>
  <c r="T124" i="1"/>
  <c r="S124" i="1"/>
  <c r="Q124" i="1"/>
  <c r="P124" i="1"/>
  <c r="T123" i="1"/>
  <c r="S123" i="1"/>
  <c r="Q123" i="1"/>
  <c r="P123" i="1"/>
  <c r="T122" i="1"/>
  <c r="S122" i="1"/>
  <c r="Q122" i="1"/>
  <c r="P122" i="1"/>
  <c r="T121" i="1"/>
  <c r="S121" i="1"/>
  <c r="Q121" i="1"/>
  <c r="P121" i="1"/>
  <c r="T120" i="1"/>
  <c r="S120" i="1"/>
  <c r="Q120" i="1"/>
  <c r="P120" i="1"/>
  <c r="T119" i="1"/>
  <c r="S119" i="1"/>
  <c r="Q119" i="1"/>
  <c r="P119" i="1"/>
  <c r="T118" i="1"/>
  <c r="S118" i="1"/>
  <c r="Q118" i="1"/>
  <c r="P118" i="1"/>
  <c r="T117" i="1"/>
  <c r="S117" i="1"/>
  <c r="Q117" i="1"/>
  <c r="P117" i="1"/>
  <c r="T116" i="1"/>
  <c r="S116" i="1"/>
  <c r="Q116" i="1"/>
  <c r="P116" i="1"/>
  <c r="T115" i="1"/>
  <c r="S115" i="1"/>
  <c r="Q115" i="1"/>
  <c r="P115" i="1"/>
  <c r="T114" i="1"/>
  <c r="S114" i="1"/>
  <c r="Q114" i="1"/>
  <c r="P114" i="1"/>
  <c r="T113" i="1"/>
  <c r="S113" i="1"/>
  <c r="Q113" i="1"/>
  <c r="P113" i="1"/>
  <c r="T112" i="1"/>
  <c r="S112" i="1"/>
  <c r="Q112" i="1"/>
  <c r="P112" i="1"/>
  <c r="T111" i="1"/>
  <c r="S111" i="1"/>
  <c r="Q111" i="1"/>
  <c r="P111" i="1"/>
  <c r="T110" i="1"/>
  <c r="S110" i="1"/>
  <c r="Q110" i="1"/>
  <c r="P110" i="1"/>
  <c r="T109" i="1"/>
  <c r="S109" i="1"/>
  <c r="Q109" i="1"/>
  <c r="P109" i="1"/>
  <c r="T108" i="1"/>
  <c r="S108" i="1"/>
  <c r="Q108" i="1"/>
  <c r="P108" i="1"/>
  <c r="T107" i="1"/>
  <c r="S107" i="1"/>
  <c r="Q107" i="1"/>
  <c r="P107" i="1"/>
  <c r="T106" i="1"/>
  <c r="S106" i="1"/>
  <c r="Q106" i="1"/>
  <c r="P106" i="1"/>
  <c r="T105" i="1"/>
  <c r="S105" i="1"/>
  <c r="Q105" i="1"/>
  <c r="P105" i="1"/>
  <c r="T104" i="1"/>
  <c r="S104" i="1"/>
  <c r="Q104" i="1"/>
  <c r="P104" i="1"/>
  <c r="T103" i="1"/>
  <c r="S103" i="1"/>
  <c r="Q103" i="1"/>
  <c r="P103" i="1"/>
  <c r="T102" i="1"/>
  <c r="S102" i="1"/>
  <c r="Q102" i="1"/>
  <c r="P102" i="1"/>
  <c r="T101" i="1"/>
  <c r="S101" i="1"/>
  <c r="Q101" i="1"/>
  <c r="P101" i="1"/>
  <c r="T100" i="1"/>
  <c r="S100" i="1"/>
  <c r="Q100" i="1"/>
  <c r="P100" i="1"/>
  <c r="T99" i="1"/>
  <c r="S99" i="1"/>
  <c r="Q99" i="1"/>
  <c r="P99" i="1"/>
  <c r="T98" i="1"/>
  <c r="S98" i="1"/>
  <c r="Q98" i="1"/>
  <c r="P98" i="1"/>
  <c r="T97" i="1"/>
  <c r="S97" i="1"/>
  <c r="Q97" i="1"/>
  <c r="P97" i="1"/>
  <c r="T96" i="1"/>
  <c r="S96" i="1"/>
  <c r="Q96" i="1"/>
  <c r="P96" i="1"/>
  <c r="T95" i="1"/>
  <c r="S95" i="1"/>
  <c r="Q95" i="1"/>
  <c r="P95" i="1"/>
  <c r="T94" i="1"/>
  <c r="S94" i="1"/>
  <c r="Q94" i="1"/>
  <c r="P94" i="1"/>
  <c r="T93" i="1"/>
  <c r="S93" i="1"/>
  <c r="Q93" i="1"/>
  <c r="P93" i="1"/>
  <c r="T92" i="1"/>
  <c r="S92" i="1"/>
  <c r="Q92" i="1"/>
  <c r="P92" i="1"/>
  <c r="T91" i="1"/>
  <c r="S91" i="1"/>
  <c r="Q91" i="1"/>
  <c r="P91" i="1"/>
  <c r="T90" i="1"/>
  <c r="S90" i="1"/>
  <c r="Q90" i="1"/>
  <c r="P90" i="1"/>
  <c r="T89" i="1"/>
  <c r="S89" i="1"/>
  <c r="Q89" i="1"/>
  <c r="P89" i="1"/>
  <c r="T88" i="1"/>
  <c r="S88" i="1"/>
  <c r="Q88" i="1"/>
  <c r="P88" i="1"/>
  <c r="T87" i="1"/>
  <c r="S87" i="1"/>
  <c r="Q87" i="1"/>
  <c r="P87" i="1"/>
  <c r="T86" i="1"/>
  <c r="S86" i="1"/>
  <c r="Q86" i="1"/>
  <c r="P86" i="1"/>
  <c r="T85" i="1"/>
  <c r="S85" i="1"/>
  <c r="Q85" i="1"/>
  <c r="P85" i="1"/>
  <c r="T84" i="1"/>
  <c r="S84" i="1"/>
  <c r="Q84" i="1"/>
  <c r="P84" i="1"/>
  <c r="T83" i="1"/>
  <c r="S83" i="1"/>
  <c r="Q83" i="1"/>
  <c r="P83" i="1"/>
  <c r="T82" i="1"/>
  <c r="S82" i="1"/>
  <c r="Q82" i="1"/>
  <c r="P82" i="1"/>
  <c r="T81" i="1"/>
  <c r="S81" i="1"/>
  <c r="Q81" i="1"/>
  <c r="P81" i="1"/>
  <c r="T80" i="1"/>
  <c r="S80" i="1"/>
  <c r="Q80" i="1"/>
  <c r="P80" i="1"/>
  <c r="T79" i="1"/>
  <c r="S79" i="1"/>
  <c r="Q79" i="1"/>
  <c r="P79" i="1"/>
  <c r="T78" i="1"/>
  <c r="S78" i="1"/>
  <c r="Q78" i="1"/>
  <c r="P78" i="1"/>
  <c r="T77" i="1"/>
  <c r="S77" i="1"/>
  <c r="Q77" i="1"/>
  <c r="P77" i="1"/>
  <c r="T76" i="1"/>
  <c r="S76" i="1"/>
  <c r="Q76" i="1"/>
  <c r="P76" i="1"/>
  <c r="T75" i="1"/>
  <c r="S75" i="1"/>
  <c r="Q75" i="1"/>
  <c r="P75" i="1"/>
  <c r="T74" i="1"/>
  <c r="S74" i="1"/>
  <c r="Q74" i="1"/>
  <c r="P74" i="1"/>
  <c r="T73" i="1"/>
  <c r="S73" i="1"/>
  <c r="Q73" i="1"/>
  <c r="P73" i="1"/>
  <c r="T72" i="1"/>
  <c r="S72" i="1"/>
  <c r="Q72" i="1"/>
  <c r="P72" i="1"/>
  <c r="T71" i="1"/>
  <c r="S71" i="1"/>
  <c r="Q71" i="1"/>
  <c r="P71" i="1"/>
  <c r="T70" i="1"/>
  <c r="S70" i="1"/>
  <c r="Q70" i="1"/>
  <c r="P70" i="1"/>
  <c r="T69" i="1"/>
  <c r="S69" i="1"/>
  <c r="Q69" i="1"/>
  <c r="P69" i="1"/>
  <c r="T68" i="1"/>
  <c r="S68" i="1"/>
  <c r="Q68" i="1"/>
  <c r="P68" i="1"/>
  <c r="T67" i="1"/>
  <c r="S67" i="1"/>
  <c r="Q67" i="1"/>
  <c r="P67" i="1"/>
  <c r="T66" i="1"/>
  <c r="S66" i="1"/>
  <c r="Q66" i="1"/>
  <c r="P66" i="1"/>
  <c r="T65" i="1"/>
  <c r="S65" i="1"/>
  <c r="Q65" i="1"/>
  <c r="P65" i="1"/>
  <c r="T64" i="1"/>
  <c r="S64" i="1"/>
  <c r="Q64" i="1"/>
  <c r="P64" i="1"/>
  <c r="T63" i="1"/>
  <c r="S63" i="1"/>
  <c r="Q63" i="1"/>
  <c r="P63" i="1"/>
  <c r="T62" i="1"/>
  <c r="S62" i="1"/>
  <c r="Q62" i="1"/>
  <c r="P62" i="1"/>
  <c r="T61" i="1"/>
  <c r="S61" i="1"/>
  <c r="Q61" i="1"/>
  <c r="P61" i="1"/>
  <c r="T60" i="1"/>
  <c r="S60" i="1"/>
  <c r="Q60" i="1"/>
  <c r="P60" i="1"/>
  <c r="T59" i="1"/>
  <c r="S59" i="1"/>
  <c r="Q59" i="1"/>
  <c r="P59" i="1"/>
  <c r="T58" i="1"/>
  <c r="S58" i="1"/>
  <c r="Q58" i="1"/>
  <c r="P58" i="1"/>
  <c r="T57" i="1"/>
  <c r="S57" i="1"/>
  <c r="Q57" i="1"/>
  <c r="P57" i="1"/>
  <c r="T56" i="1"/>
  <c r="S56" i="1"/>
  <c r="Q56" i="1"/>
  <c r="P56" i="1"/>
  <c r="T55" i="1"/>
  <c r="S55" i="1"/>
  <c r="Q55" i="1"/>
  <c r="P55" i="1"/>
  <c r="T54" i="1"/>
  <c r="S54" i="1"/>
  <c r="Q54" i="1"/>
  <c r="P54" i="1"/>
  <c r="T53" i="1"/>
  <c r="S53" i="1"/>
  <c r="Q53" i="1"/>
  <c r="P53" i="1"/>
  <c r="T52" i="1"/>
  <c r="S52" i="1"/>
  <c r="Q52" i="1"/>
  <c r="P52" i="1"/>
  <c r="T51" i="1"/>
  <c r="S51" i="1"/>
  <c r="Q51" i="1"/>
  <c r="P51" i="1"/>
  <c r="T50" i="1"/>
  <c r="S50" i="1"/>
  <c r="Q50" i="1"/>
  <c r="P50" i="1"/>
  <c r="T49" i="1"/>
  <c r="S49" i="1"/>
  <c r="Q49" i="1"/>
  <c r="P49" i="1"/>
  <c r="T48" i="1"/>
  <c r="S48" i="1"/>
  <c r="Q48" i="1"/>
  <c r="P48" i="1"/>
  <c r="T47" i="1"/>
  <c r="S47" i="1"/>
  <c r="Q47" i="1"/>
  <c r="P47" i="1"/>
  <c r="T46" i="1"/>
  <c r="S46" i="1"/>
  <c r="Q46" i="1"/>
  <c r="P46" i="1"/>
  <c r="T45" i="1"/>
  <c r="S45" i="1"/>
  <c r="Q45" i="1"/>
  <c r="P45" i="1"/>
  <c r="T44" i="1"/>
  <c r="S44" i="1"/>
  <c r="Q44" i="1"/>
  <c r="P44" i="1"/>
  <c r="T43" i="1"/>
  <c r="S43" i="1"/>
  <c r="Q43" i="1"/>
  <c r="P43" i="1"/>
  <c r="T42" i="1"/>
  <c r="S42" i="1"/>
  <c r="Q42" i="1"/>
  <c r="P42" i="1"/>
  <c r="T41" i="1"/>
  <c r="S41" i="1"/>
  <c r="Q41" i="1"/>
  <c r="P41" i="1"/>
  <c r="T40" i="1"/>
  <c r="S40" i="1"/>
  <c r="Q40" i="1"/>
  <c r="P40" i="1"/>
  <c r="T39" i="1"/>
  <c r="S39" i="1"/>
  <c r="Q39" i="1"/>
  <c r="P39" i="1"/>
  <c r="T38" i="1"/>
  <c r="S38" i="1"/>
  <c r="Q38" i="1"/>
  <c r="P38" i="1"/>
  <c r="T37" i="1"/>
  <c r="S37" i="1"/>
  <c r="Q37" i="1"/>
  <c r="P37" i="1"/>
  <c r="T36" i="1"/>
  <c r="S36" i="1"/>
  <c r="Q36" i="1"/>
  <c r="P36" i="1"/>
  <c r="T35" i="1"/>
  <c r="S35" i="1"/>
  <c r="Q35" i="1"/>
  <c r="P35" i="1"/>
  <c r="T34" i="1"/>
  <c r="S34" i="1"/>
  <c r="Q34" i="1"/>
  <c r="P34" i="1"/>
  <c r="T33" i="1"/>
  <c r="S33" i="1"/>
  <c r="Q33" i="1"/>
  <c r="P33" i="1"/>
  <c r="T32" i="1"/>
  <c r="S32" i="1"/>
  <c r="Q32" i="1"/>
  <c r="P32" i="1"/>
  <c r="T31" i="1"/>
  <c r="S31" i="1"/>
  <c r="Q31" i="1"/>
  <c r="P31" i="1"/>
  <c r="T30" i="1"/>
  <c r="S30" i="1"/>
  <c r="Q30" i="1"/>
  <c r="P30" i="1"/>
  <c r="T29" i="1"/>
  <c r="S29" i="1"/>
  <c r="Q29" i="1"/>
  <c r="P29" i="1"/>
  <c r="T28" i="1"/>
  <c r="S28" i="1"/>
  <c r="Q28" i="1"/>
  <c r="P28" i="1"/>
  <c r="T27" i="1"/>
  <c r="S27" i="1"/>
  <c r="Q27" i="1"/>
  <c r="P27" i="1"/>
  <c r="T26" i="1"/>
  <c r="S26" i="1"/>
  <c r="Q26" i="1"/>
  <c r="P26" i="1"/>
  <c r="T25" i="1"/>
  <c r="S25" i="1"/>
  <c r="Q25" i="1"/>
  <c r="P25" i="1"/>
  <c r="T24" i="1"/>
  <c r="S24" i="1"/>
  <c r="Q24" i="1"/>
  <c r="P24" i="1"/>
  <c r="T23" i="1"/>
  <c r="S23" i="1"/>
  <c r="Q23" i="1"/>
  <c r="P23" i="1"/>
  <c r="T22" i="1"/>
  <c r="S22" i="1"/>
  <c r="Q22" i="1"/>
  <c r="P22" i="1"/>
  <c r="T21" i="1"/>
  <c r="S21" i="1"/>
  <c r="Q21" i="1"/>
  <c r="P21" i="1"/>
  <c r="T20" i="1"/>
  <c r="S20" i="1"/>
  <c r="Q20" i="1"/>
  <c r="P20" i="1"/>
  <c r="T19" i="1"/>
  <c r="S19" i="1"/>
  <c r="Q19" i="1"/>
  <c r="P19" i="1"/>
  <c r="T18" i="1"/>
  <c r="S18" i="1"/>
  <c r="Q18" i="1"/>
  <c r="P18" i="1"/>
  <c r="T17" i="1"/>
  <c r="S17" i="1"/>
  <c r="Q17" i="1"/>
  <c r="P17" i="1"/>
  <c r="T16" i="1"/>
  <c r="S16" i="1"/>
  <c r="Q16" i="1"/>
  <c r="P16" i="1"/>
  <c r="T15" i="1"/>
  <c r="S15" i="1"/>
  <c r="Q15" i="1"/>
  <c r="P15" i="1"/>
  <c r="T14" i="1"/>
  <c r="S14" i="1"/>
  <c r="Q14" i="1"/>
  <c r="P14" i="1"/>
  <c r="T13" i="1"/>
  <c r="S13" i="1"/>
  <c r="Q13" i="1"/>
  <c r="P13" i="1"/>
  <c r="T12" i="1"/>
  <c r="S12" i="1"/>
  <c r="Q12" i="1"/>
  <c r="P12" i="1"/>
  <c r="T11" i="1"/>
  <c r="S11" i="1"/>
  <c r="Q11" i="1"/>
  <c r="P11" i="1"/>
  <c r="T10" i="1"/>
  <c r="S10" i="1"/>
  <c r="Q10" i="1"/>
  <c r="P10" i="1"/>
  <c r="T9" i="1"/>
  <c r="S9" i="1"/>
  <c r="Q9" i="1"/>
  <c r="P9" i="1"/>
  <c r="T8" i="1"/>
  <c r="S8" i="1"/>
  <c r="Q8" i="1"/>
  <c r="P8" i="1"/>
  <c r="T7" i="1"/>
  <c r="S7" i="1"/>
  <c r="Q7" i="1"/>
  <c r="P7" i="1"/>
  <c r="T6" i="1"/>
  <c r="S6" i="1"/>
  <c r="Q6" i="1"/>
  <c r="P6" i="1"/>
  <c r="T5" i="1"/>
  <c r="S5" i="1"/>
  <c r="Q5" i="1"/>
  <c r="P5" i="1"/>
  <c r="T4" i="1"/>
  <c r="S4" i="1"/>
  <c r="Q4" i="1"/>
  <c r="P4" i="1"/>
  <c r="T3" i="1"/>
  <c r="S3" i="1"/>
  <c r="Q3" i="1"/>
  <c r="P3" i="1"/>
  <c r="W2" i="1"/>
  <c r="T2" i="1"/>
  <c r="S2" i="1"/>
  <c r="Q2" i="1"/>
  <c r="P2" i="1"/>
  <c r="B8" i="3" l="1"/>
</calcChain>
</file>

<file path=xl/sharedStrings.xml><?xml version="1.0" encoding="utf-8"?>
<sst xmlns="http://schemas.openxmlformats.org/spreadsheetml/2006/main" count="5158" uniqueCount="771">
  <si>
    <t>Order ID</t>
  </si>
  <si>
    <t>Order Date</t>
  </si>
  <si>
    <t>Customer ID</t>
  </si>
  <si>
    <t>Customer Name</t>
  </si>
  <si>
    <t>Product</t>
  </si>
  <si>
    <t>Category</t>
  </si>
  <si>
    <t>Sub-Category</t>
  </si>
  <si>
    <t>Region</t>
  </si>
  <si>
    <t>City</t>
  </si>
  <si>
    <t>State</t>
  </si>
  <si>
    <t>Quantity</t>
  </si>
  <si>
    <t>Sales</t>
  </si>
  <si>
    <t>Discount</t>
  </si>
  <si>
    <t>Profit</t>
  </si>
  <si>
    <t>Payment Mode</t>
  </si>
  <si>
    <t>Year</t>
  </si>
  <si>
    <t>Month</t>
  </si>
  <si>
    <t>Profit Margin</t>
  </si>
  <si>
    <t>Sales Category</t>
  </si>
  <si>
    <t>month num</t>
  </si>
  <si>
    <t xml:space="preserve">count of blank cells </t>
  </si>
  <si>
    <t>ORD0001</t>
  </si>
  <si>
    <t>CUST055</t>
  </si>
  <si>
    <t>Ananya Kumar</t>
  </si>
  <si>
    <t>Keyboard</t>
  </si>
  <si>
    <t>Electronics</t>
  </si>
  <si>
    <t>Accessories</t>
  </si>
  <si>
    <t>North</t>
  </si>
  <si>
    <t>Jaipur</t>
  </si>
  <si>
    <t>Rajasthan</t>
  </si>
  <si>
    <t>Net Banking</t>
  </si>
  <si>
    <t>ORD0002</t>
  </si>
  <si>
    <t>CUST013</t>
  </si>
  <si>
    <t>Rahul Rao</t>
  </si>
  <si>
    <t>Laptop</t>
  </si>
  <si>
    <t>Computers</t>
  </si>
  <si>
    <t>South</t>
  </si>
  <si>
    <t>Chennai</t>
  </si>
  <si>
    <t>Tamil Nadu</t>
  </si>
  <si>
    <t>Credit Card</t>
  </si>
  <si>
    <t>ORD0003</t>
  </si>
  <si>
    <t>CUST022</t>
  </si>
  <si>
    <t>Arjun Verma</t>
  </si>
  <si>
    <t>Office Chair</t>
  </si>
  <si>
    <t>Furniture</t>
  </si>
  <si>
    <t>Chairs</t>
  </si>
  <si>
    <t>Delhi</t>
  </si>
  <si>
    <t>ORD0004</t>
  </si>
  <si>
    <t>CUST049</t>
  </si>
  <si>
    <t>Neha Gupta</t>
  </si>
  <si>
    <t>ORD0005</t>
  </si>
  <si>
    <t>CUST063</t>
  </si>
  <si>
    <t>Varun Verma</t>
  </si>
  <si>
    <t>ORD0006</t>
  </si>
  <si>
    <t>CUST008</t>
  </si>
  <si>
    <t>Isha Rao</t>
  </si>
  <si>
    <t>Backpack</t>
  </si>
  <si>
    <t>Bags</t>
  </si>
  <si>
    <t>Travel</t>
  </si>
  <si>
    <t>West</t>
  </si>
  <si>
    <t>Mumbai</t>
  </si>
  <si>
    <t>Maharashtra</t>
  </si>
  <si>
    <t>ORD0007</t>
  </si>
  <si>
    <t>CUST021</t>
  </si>
  <si>
    <t>Kavya Reddy</t>
  </si>
  <si>
    <t>Gurugram</t>
  </si>
  <si>
    <t>Haryana</t>
  </si>
  <si>
    <t>ORD0008</t>
  </si>
  <si>
    <t>CUST052</t>
  </si>
  <si>
    <t>Aarav Iyer</t>
  </si>
  <si>
    <t>Wireless Mouse</t>
  </si>
  <si>
    <t>Cash</t>
  </si>
  <si>
    <t>ORD0009</t>
  </si>
  <si>
    <t>CUST075</t>
  </si>
  <si>
    <t>Priya Rao</t>
  </si>
  <si>
    <t>Notebook</t>
  </si>
  <si>
    <t>Stationery</t>
  </si>
  <si>
    <t>Office Supplies</t>
  </si>
  <si>
    <t>ORD0010</t>
  </si>
  <si>
    <t>CUST034</t>
  </si>
  <si>
    <t>Rohan Kumar</t>
  </si>
  <si>
    <t>Ahmedabad</t>
  </si>
  <si>
    <t>Gujarat</t>
  </si>
  <si>
    <t>UPI</t>
  </si>
  <si>
    <t>ORD0011</t>
  </si>
  <si>
    <t>CUST002</t>
  </si>
  <si>
    <t>Kavya Kumar</t>
  </si>
  <si>
    <t>Desk</t>
  </si>
  <si>
    <t>Tables</t>
  </si>
  <si>
    <t>Hyderabad</t>
  </si>
  <si>
    <t>Telangana</t>
  </si>
  <si>
    <t>Debit Card</t>
  </si>
  <si>
    <t>ORD0012</t>
  </si>
  <si>
    <t>CUST017</t>
  </si>
  <si>
    <t>Rahul Gupta</t>
  </si>
  <si>
    <t>USB Cable</t>
  </si>
  <si>
    <t>Pune</t>
  </si>
  <si>
    <t>ORD0013</t>
  </si>
  <si>
    <t>CUST039</t>
  </si>
  <si>
    <t>Ananya Reddy</t>
  </si>
  <si>
    <t>ORD0014</t>
  </si>
  <si>
    <t>CUST018</t>
  </si>
  <si>
    <t>Shreya Nair</t>
  </si>
  <si>
    <t>Smartphone</t>
  </si>
  <si>
    <t>Phones</t>
  </si>
  <si>
    <t>ORD0015</t>
  </si>
  <si>
    <t>CUST027</t>
  </si>
  <si>
    <t>Kiran Singh</t>
  </si>
  <si>
    <t>ORD0016</t>
  </si>
  <si>
    <t>CUST033</t>
  </si>
  <si>
    <t>Nikhil Patel</t>
  </si>
  <si>
    <t>ORD0017</t>
  </si>
  <si>
    <t>CUST043</t>
  </si>
  <si>
    <t>Arjun Gupta</t>
  </si>
  <si>
    <t>Water Bottle</t>
  </si>
  <si>
    <t>Bengaluru</t>
  </si>
  <si>
    <t>Karnataka</t>
  </si>
  <si>
    <t>ORD0018</t>
  </si>
  <si>
    <t>CUST072</t>
  </si>
  <si>
    <t>Rohan Iyer</t>
  </si>
  <si>
    <t>ORD0019</t>
  </si>
  <si>
    <t>Bookshelf</t>
  </si>
  <si>
    <t>Storage</t>
  </si>
  <si>
    <t>ORD0020</t>
  </si>
  <si>
    <t>CUST046</t>
  </si>
  <si>
    <t>Pooja Patel</t>
  </si>
  <si>
    <t>Monitor</t>
  </si>
  <si>
    <t>East</t>
  </si>
  <si>
    <t>Kolkata</t>
  </si>
  <si>
    <t>West Bengal</t>
  </si>
  <si>
    <t>ORD0021</t>
  </si>
  <si>
    <t>CUST080</t>
  </si>
  <si>
    <t>Isha Verma</t>
  </si>
  <si>
    <t>ORD0022</t>
  </si>
  <si>
    <t>CUST053</t>
  </si>
  <si>
    <t>Divya Sharma</t>
  </si>
  <si>
    <t>ORD0023</t>
  </si>
  <si>
    <t>CUST035</t>
  </si>
  <si>
    <t>Isha Singh</t>
  </si>
  <si>
    <t>ORD0024</t>
  </si>
  <si>
    <t>CUST026</t>
  </si>
  <si>
    <t>Kavya Patel</t>
  </si>
  <si>
    <t>Printer</t>
  </si>
  <si>
    <t>Office Equipment</t>
  </si>
  <si>
    <t>ORD0025</t>
  </si>
  <si>
    <t>CUST004</t>
  </si>
  <si>
    <t>Akash Rao</t>
  </si>
  <si>
    <t>Pen Set</t>
  </si>
  <si>
    <t>ORD0026</t>
  </si>
  <si>
    <t>CUST045</t>
  </si>
  <si>
    <t>Aditya Reddy</t>
  </si>
  <si>
    <t>ORD0027</t>
  </si>
  <si>
    <t>CUST015</t>
  </si>
  <si>
    <t>Arjun Sharma</t>
  </si>
  <si>
    <t>ORD0028</t>
  </si>
  <si>
    <t>CUST077</t>
  </si>
  <si>
    <t>ORD0029</t>
  </si>
  <si>
    <t>CUST074</t>
  </si>
  <si>
    <t>Pooja Kumar</t>
  </si>
  <si>
    <t>ORD0030</t>
  </si>
  <si>
    <t>Headphones</t>
  </si>
  <si>
    <t>Audio</t>
  </si>
  <si>
    <t>ORD0031</t>
  </si>
  <si>
    <t>ORD0032</t>
  </si>
  <si>
    <t>CUST025</t>
  </si>
  <si>
    <t>Shreya Patel</t>
  </si>
  <si>
    <t>ORD0033</t>
  </si>
  <si>
    <t>ORD0034</t>
  </si>
  <si>
    <t>CUST078</t>
  </si>
  <si>
    <t>Kiran Nair</t>
  </si>
  <si>
    <t>ORD0035</t>
  </si>
  <si>
    <t>ORD0036</t>
  </si>
  <si>
    <t>CUST031</t>
  </si>
  <si>
    <t>Vikram Iyer</t>
  </si>
  <si>
    <t>ORD0037</t>
  </si>
  <si>
    <t>CUST061</t>
  </si>
  <si>
    <t>Isha Kumar</t>
  </si>
  <si>
    <t>ORD0038</t>
  </si>
  <si>
    <t>CUST064</t>
  </si>
  <si>
    <t>ORD0039</t>
  </si>
  <si>
    <t>ORD0040</t>
  </si>
  <si>
    <t>CUST059</t>
  </si>
  <si>
    <t>Sneha Singh</t>
  </si>
  <si>
    <t>ORD0041</t>
  </si>
  <si>
    <t>CUST079</t>
  </si>
  <si>
    <t>ORD0042</t>
  </si>
  <si>
    <t>ORD0043</t>
  </si>
  <si>
    <t>ORD0044</t>
  </si>
  <si>
    <t>ORD0045</t>
  </si>
  <si>
    <t>CUST028</t>
  </si>
  <si>
    <t>Kavya Nair</t>
  </si>
  <si>
    <t>ORD0046</t>
  </si>
  <si>
    <t>CUST054</t>
  </si>
  <si>
    <t>Meera Singh</t>
  </si>
  <si>
    <t>ORD0047</t>
  </si>
  <si>
    <t>CUST001</t>
  </si>
  <si>
    <t>Priya Sharma</t>
  </si>
  <si>
    <t>ORD0048</t>
  </si>
  <si>
    <t>CUST070</t>
  </si>
  <si>
    <t>Varun Kumar</t>
  </si>
  <si>
    <t>ORD0049</t>
  </si>
  <si>
    <t>CUST050</t>
  </si>
  <si>
    <t>Vikram Patel</t>
  </si>
  <si>
    <t>ORD0050</t>
  </si>
  <si>
    <t>ORD0051</t>
  </si>
  <si>
    <t>ORD0052</t>
  </si>
  <si>
    <t>CUST042</t>
  </si>
  <si>
    <t>Shreya Verma</t>
  </si>
  <si>
    <t>ORD0053</t>
  </si>
  <si>
    <t>ORD0054</t>
  </si>
  <si>
    <t>ORD0055</t>
  </si>
  <si>
    <t>CUST073</t>
  </si>
  <si>
    <t>Divya Kumar</t>
  </si>
  <si>
    <t>ORD0056</t>
  </si>
  <si>
    <t>ORD0057</t>
  </si>
  <si>
    <t>CUST051</t>
  </si>
  <si>
    <t>Sneha Gupta</t>
  </si>
  <si>
    <t>ORD0058</t>
  </si>
  <si>
    <t>ORD0059</t>
  </si>
  <si>
    <t>ORD0060</t>
  </si>
  <si>
    <t>ORD0061</t>
  </si>
  <si>
    <t>CUST056</t>
  </si>
  <si>
    <t>Rahul Reddy</t>
  </si>
  <si>
    <t>ORD0062</t>
  </si>
  <si>
    <t>CUST060</t>
  </si>
  <si>
    <t>Shreya Rao</t>
  </si>
  <si>
    <t>ORD0063</t>
  </si>
  <si>
    <t>CUST036</t>
  </si>
  <si>
    <t>Pooja Iyer</t>
  </si>
  <si>
    <t>ORD0064</t>
  </si>
  <si>
    <t>CUST044</t>
  </si>
  <si>
    <t>Priya Gupta</t>
  </si>
  <si>
    <t>ORD0065</t>
  </si>
  <si>
    <t>ORD0066</t>
  </si>
  <si>
    <t>ORD0067</t>
  </si>
  <si>
    <t>CUST058</t>
  </si>
  <si>
    <t>Rohan Verma</t>
  </si>
  <si>
    <t>ORD0068</t>
  </si>
  <si>
    <t>ORD0069</t>
  </si>
  <si>
    <t>ORD0070</t>
  </si>
  <si>
    <t>CUST041</t>
  </si>
  <si>
    <t>ORD0071</t>
  </si>
  <si>
    <t>CUST068</t>
  </si>
  <si>
    <t>ORD0072</t>
  </si>
  <si>
    <t>ORD0073</t>
  </si>
  <si>
    <t>CUST038</t>
  </si>
  <si>
    <t>ORD0074</t>
  </si>
  <si>
    <t>CUST062</t>
  </si>
  <si>
    <t>ORD0075</t>
  </si>
  <si>
    <t>CUST009</t>
  </si>
  <si>
    <t>Nikhil Iyer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</si>
  <si>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</si>
  <si>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</si>
  <si>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</si>
  <si>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</si>
  <si>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</si>
  <si>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</si>
  <si>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</si>
  <si>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</si>
  <si>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CUST010</t>
  </si>
  <si>
    <t>Aarav Patel</t>
  </si>
  <si>
    <t>ORD0084</t>
  </si>
  <si>
    <t>CUST057</t>
  </si>
  <si>
    <t>ORD0085</t>
  </si>
  <si>
    <t>ORD0086</t>
  </si>
  <si>
    <t>ORD0087</t>
  </si>
  <si>
    <t>ORD0088</t>
  </si>
  <si>
    <t>CUST024</t>
  </si>
  <si>
    <t>Vikram Singh</t>
  </si>
  <si>
    <t>ORD0089</t>
  </si>
  <si>
    <t>CUST014</t>
  </si>
  <si>
    <t>Meera Nair</t>
  </si>
  <si>
    <t>ORD0090</t>
  </si>
  <si>
    <t>CUST071</t>
  </si>
  <si>
    <t>ORD0091</t>
  </si>
  <si>
    <t>CUST066</t>
  </si>
  <si>
    <t>ORD0092</t>
  </si>
  <si>
    <t>ORD0093</t>
  </si>
  <si>
    <t>CUST037</t>
  </si>
  <si>
    <t>Meera Kumar</t>
  </si>
  <si>
    <t>ORD0094</t>
  </si>
  <si>
    <t>ORD0095</t>
  </si>
  <si>
    <t>ORD0096</t>
  </si>
  <si>
    <t>ORD0097</t>
  </si>
  <si>
    <t>ORD0098</t>
  </si>
  <si>
    <t>CUST065</t>
  </si>
  <si>
    <t>Aditya Sharma</t>
  </si>
  <si>
    <t>ORD0099</t>
  </si>
  <si>
    <t>CUST020</t>
  </si>
  <si>
    <t>Kavya Singh</t>
  </si>
  <si>
    <t>ORD0100</t>
  </si>
  <si>
    <t>ORD0101</t>
  </si>
  <si>
    <t>CUST006</t>
  </si>
  <si>
    <t>Kavya Gupta</t>
  </si>
  <si>
    <t>ORD0102</t>
  </si>
  <si>
    <t>ORD0103</t>
  </si>
  <si>
    <t>ORD0104</t>
  </si>
  <si>
    <t>ORD0105</t>
  </si>
  <si>
    <t>CUST069</t>
  </si>
  <si>
    <t>Ananya Nair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</si>
  <si>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</si>
  <si>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</si>
  <si>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</si>
  <si>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</si>
  <si>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</si>
  <si>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</si>
  <si>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</si>
  <si>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</si>
  <si>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</si>
  <si>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CUST003</t>
  </si>
  <si>
    <t>ORD0115</t>
  </si>
  <si>
    <t>ORD0116</t>
  </si>
  <si>
    <t>CUST029</t>
  </si>
  <si>
    <t>Kavya Sharma</t>
  </si>
  <si>
    <t>ORD0117</t>
  </si>
  <si>
    <t>ORD0118</t>
  </si>
  <si>
    <t>ORD0119</t>
  </si>
  <si>
    <t>CUST047</t>
  </si>
  <si>
    <t>Aarav Singh</t>
  </si>
  <si>
    <t>ORD0120</t>
  </si>
  <si>
    <t>ORD0121</t>
  </si>
  <si>
    <t>ORD0122</t>
  </si>
  <si>
    <t>CUST016</t>
  </si>
  <si>
    <t>Isha Reddy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</si>
  <si>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</si>
  <si>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</si>
  <si>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</si>
  <si>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</si>
  <si>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</si>
  <si>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</si>
  <si>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</si>
  <si>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</si>
  <si>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</si>
  <si>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CUST007</t>
  </si>
  <si>
    <t>Aarav Gupta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</si>
  <si>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</si>
  <si>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</si>
  <si>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</si>
  <si>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</si>
  <si>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</si>
  <si>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</si>
  <si>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</si>
  <si>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</si>
  <si>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</si>
  <si>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</si>
  <si>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</si>
  <si>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</si>
  <si>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</si>
  <si>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</si>
  <si>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</si>
  <si>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</si>
  <si>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</si>
  <si>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</si>
  <si>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</si>
  <si>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</si>
  <si>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CUST019</t>
  </si>
  <si>
    <t>Vikram Reddy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</si>
  <si>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</si>
  <si>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</si>
  <si>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</si>
  <si>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</si>
  <si>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</si>
  <si>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</si>
  <si>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</si>
  <si>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</si>
  <si>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</si>
  <si>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</si>
  <si>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</si>
  <si>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</si>
  <si>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</si>
  <si>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</si>
  <si>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</si>
  <si>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CUST023</t>
  </si>
  <si>
    <t>Sneha Nair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</si>
  <si>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</si>
  <si>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</si>
  <si>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</si>
  <si>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</si>
  <si>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</si>
  <si>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</si>
  <si>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</si>
  <si>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</si>
  <si>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</si>
  <si>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</si>
  <si>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</si>
  <si>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</si>
  <si>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</si>
  <si>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</si>
  <si>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</si>
  <si>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</si>
  <si>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</si>
  <si>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</si>
  <si>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CUST030</t>
  </si>
  <si>
    <t>ORD0185</t>
  </si>
  <si>
    <t>CUST048</t>
  </si>
  <si>
    <t>ORD0186</t>
  </si>
  <si>
    <t>ORD0187</t>
  </si>
  <si>
    <t>ORD0188</t>
  </si>
  <si>
    <t>ORD0189</t>
  </si>
  <si>
    <t>CUST012</t>
  </si>
  <si>
    <t>Vikram Nair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</si>
  <si>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</si>
  <si>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</si>
  <si>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</si>
  <si>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</si>
  <si>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</si>
  <si>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</si>
  <si>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</si>
  <si>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</si>
  <si>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</si>
  <si>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</si>
  <si>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</si>
  <si>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</si>
  <si>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</si>
  <si>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</si>
  <si>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</si>
  <si>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</si>
  <si>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</si>
  <si>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</si>
  <si>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CUST011</t>
  </si>
  <si>
    <t>Aditya Singh</t>
  </si>
  <si>
    <t>ORD0208</t>
  </si>
  <si>
    <t>ORD0209</t>
  </si>
  <si>
    <t>ORD0210</t>
  </si>
  <si>
    <t>ORD0211</t>
  </si>
  <si>
    <t>ORD0212</t>
  </si>
  <si>
    <t>ORD0213</t>
  </si>
  <si>
    <t>CUST032</t>
  </si>
  <si>
    <t>Vikram Verma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</si>
  <si>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</si>
  <si>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</si>
  <si>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</si>
  <si>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</si>
  <si>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</si>
  <si>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</si>
  <si>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</si>
  <si>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</si>
  <si>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</si>
  <si>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CUST076</t>
  </si>
  <si>
    <t>Pooja Rao</t>
  </si>
  <si>
    <t>ORD0223</t>
  </si>
  <si>
    <t>CUST067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</si>
  <si>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</si>
  <si>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</si>
  <si>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</si>
  <si>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</si>
  <si>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</si>
  <si>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</si>
  <si>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</si>
  <si>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</si>
  <si>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</si>
  <si>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</si>
  <si>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</si>
  <si>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</si>
  <si>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</si>
  <si>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</si>
  <si>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</si>
  <si>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</si>
  <si>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</si>
  <si>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</si>
  <si>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</si>
  <si>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</si>
  <si>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</si>
  <si>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</si>
  <si>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</si>
  <si>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</si>
  <si>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</si>
  <si>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CUST005</t>
  </si>
  <si>
    <t>Aarav Reddy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</si>
  <si>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</si>
  <si>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</si>
  <si>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</si>
  <si>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</si>
  <si>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</si>
  <si>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</si>
  <si>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</si>
  <si>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</si>
  <si>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</si>
  <si>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</si>
  <si>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</si>
  <si>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</si>
  <si>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</si>
  <si>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</si>
  <si>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</si>
  <si>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</si>
  <si>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</si>
  <si>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</si>
  <si>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</si>
  <si>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</si>
  <si>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</si>
  <si>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</si>
  <si>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</si>
  <si>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</si>
  <si>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</si>
  <si>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</si>
  <si>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</si>
  <si>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</si>
  <si>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</si>
  <si>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</si>
  <si>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</si>
  <si>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</si>
  <si>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</si>
  <si>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</si>
  <si>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</si>
  <si>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</si>
  <si>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</si>
  <si>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</si>
  <si>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</si>
  <si>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</si>
  <si>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</si>
  <si>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</si>
  <si>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</si>
  <si>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</si>
  <si>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</si>
  <si>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</si>
  <si>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</si>
  <si>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</si>
  <si>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</si>
  <si>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</si>
  <si>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</si>
  <si>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</si>
  <si>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</si>
  <si>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</si>
  <si>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</si>
  <si>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</si>
  <si>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</si>
  <si>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</si>
  <si>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</si>
  <si>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</si>
  <si>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</si>
  <si>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</si>
  <si>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</si>
  <si>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</si>
  <si>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</si>
  <si>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</si>
  <si>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</si>
  <si>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</si>
  <si>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</si>
  <si>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</si>
  <si>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</si>
  <si>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</si>
  <si>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</si>
  <si>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</si>
  <si>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</si>
  <si>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</si>
  <si>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</si>
  <si>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</si>
  <si>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</si>
  <si>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</si>
  <si>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</si>
  <si>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</si>
  <si>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</si>
  <si>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</si>
  <si>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</si>
  <si>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</si>
  <si>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</si>
  <si>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</si>
  <si>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</si>
  <si>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</si>
  <si>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</si>
  <si>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</si>
  <si>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</si>
  <si>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</si>
  <si>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</si>
  <si>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</si>
  <si>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</si>
  <si>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</si>
  <si>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</si>
  <si>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</si>
  <si>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</si>
  <si>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</si>
  <si>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</si>
  <si>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</si>
  <si>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</si>
  <si>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</si>
  <si>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</si>
  <si>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</si>
  <si>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</si>
  <si>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</si>
  <si>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</si>
  <si>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</si>
  <si>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</si>
  <si>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</si>
  <si>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</si>
  <si>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</si>
  <si>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</si>
  <si>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</si>
  <si>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</si>
  <si>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</si>
  <si>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</si>
  <si>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</si>
  <si>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</si>
  <si>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</si>
  <si>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</si>
  <si>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</si>
  <si>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</si>
  <si>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</si>
  <si>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</si>
  <si>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</si>
  <si>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</si>
  <si>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</si>
  <si>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</si>
  <si>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</si>
  <si>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</si>
  <si>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</si>
  <si>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</si>
  <si>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</si>
  <si>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</si>
  <si>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</si>
  <si>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</si>
  <si>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</si>
  <si>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</si>
  <si>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</si>
  <si>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</si>
  <si>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</si>
  <si>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</si>
  <si>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</si>
  <si>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CUST040</t>
  </si>
  <si>
    <t>Sneha Rao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</si>
  <si>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</si>
  <si>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</si>
  <si>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</si>
  <si>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</si>
  <si>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</si>
  <si>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</si>
  <si>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</si>
  <si>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</si>
  <si>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</si>
  <si>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</si>
  <si>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</si>
  <si>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</si>
  <si>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</si>
  <si>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</si>
  <si>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</si>
  <si>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</si>
  <si>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</si>
  <si>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</si>
  <si>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</si>
  <si>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</si>
  <si>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</si>
  <si>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</si>
  <si>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</si>
  <si>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</si>
  <si>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</si>
  <si>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</si>
  <si>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</si>
  <si>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</si>
  <si>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</si>
  <si>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</si>
  <si>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</si>
  <si>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</si>
  <si>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</si>
  <si>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</si>
  <si>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</si>
  <si>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</si>
  <si>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</si>
  <si>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</si>
  <si>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</si>
  <si>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</si>
  <si>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</si>
  <si>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</si>
  <si>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</si>
  <si>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</si>
  <si>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</si>
  <si>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</si>
  <si>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</si>
  <si>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</si>
  <si>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</si>
  <si>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</si>
  <si>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</si>
  <si>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</si>
  <si>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</si>
  <si>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</si>
  <si>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</si>
  <si>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</si>
  <si>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</si>
  <si>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</si>
  <si>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</si>
  <si>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</si>
  <si>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</si>
  <si>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</si>
  <si>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</si>
  <si>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</si>
  <si>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</si>
  <si>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</si>
  <si>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</si>
  <si>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</si>
  <si>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</si>
  <si>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</si>
  <si>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</si>
  <si>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</si>
  <si>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</si>
  <si>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</si>
  <si>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</si>
  <si>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</si>
  <si>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</si>
  <si>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</si>
  <si>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</si>
  <si>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</si>
  <si>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</si>
  <si>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</si>
  <si>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</si>
  <si>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</si>
  <si>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</si>
  <si>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</si>
  <si>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</si>
  <si>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</si>
  <si>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</si>
  <si>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</si>
  <si>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</si>
  <si>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</si>
  <si>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</si>
  <si>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</si>
  <si>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</si>
  <si>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</si>
  <si>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</si>
  <si>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</si>
  <si>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</si>
  <si>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</si>
  <si>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</si>
  <si>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</si>
  <si>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</si>
  <si>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</si>
  <si>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KPI</t>
  </si>
  <si>
    <t>VALUE</t>
  </si>
  <si>
    <t>Total Orders</t>
  </si>
  <si>
    <t>Total Sales</t>
  </si>
  <si>
    <t>Total Profit</t>
  </si>
  <si>
    <t>Total Quantity</t>
  </si>
  <si>
    <t>Average Order value</t>
  </si>
  <si>
    <t>KEY PERFORMANCE INDICATORS</t>
  </si>
  <si>
    <r>
      <rPr>
        <b/>
        <sz val="15"/>
        <color theme="1"/>
        <rFont val="Times New Roman"/>
        <family val="1"/>
      </rPr>
      <t>E-COMMERCE SALES &amp; PROFITABILITY ANALYSIS</t>
    </r>
    <r>
      <rPr>
        <b/>
        <sz val="11"/>
        <color theme="1"/>
        <rFont val="Calibri"/>
        <family val="2"/>
        <scheme val="minor"/>
      </rPr>
      <t xml:space="preserve"> </t>
    </r>
  </si>
  <si>
    <t>Row Labels</t>
  </si>
  <si>
    <t>Grand Total</t>
  </si>
  <si>
    <t>Sum of Sales</t>
  </si>
  <si>
    <t>Sum of Profit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</si>
  <si>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</si>
  <si>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</si>
  <si>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</si>
  <si>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</si>
  <si>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</si>
  <si>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</si>
  <si>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</si>
  <si>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</si>
  <si>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</si>
  <si>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</si>
  <si>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</si>
  <si>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</si>
  <si>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</si>
  <si>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E-COMMERCE SALES &amp; PROFITABILITY DASHBOARD</t>
  </si>
  <si>
    <t>TOTAL ORDERS</t>
  </si>
  <si>
    <t>TOTAL SALES</t>
  </si>
  <si>
    <t>TOTAL PROFIT</t>
  </si>
  <si>
    <t>TOTAL QUANTITY</t>
  </si>
  <si>
    <t>AVERAGE ORDER VALUE</t>
  </si>
  <si>
    <t>KEY BUSINESS INSIGHTS</t>
  </si>
  <si>
    <t>Area</t>
  </si>
  <si>
    <t>Key Insight</t>
  </si>
  <si>
    <t>Overall Performance</t>
  </si>
  <si>
    <t>The business recorded 500 orders, generating total sales of ₹1.22 crore and total profit of approximately ₹16.00 lakh.</t>
  </si>
  <si>
    <t>Electronics generated the highest sales (₹96.68 lakh) and the highest total profit (₹12.37 lakh) among the categories.</t>
  </si>
  <si>
    <t>Monthly Trend</t>
  </si>
  <si>
    <t>December recorded the highest monthly sales at approximately ₹17.18 lakh, while June recorded the lowest at approximately ₹4.88 lakh.</t>
  </si>
  <si>
    <t>South recorded the highest regional sales at approximately ₹43.48 lakh, followed by West and North.</t>
  </si>
  <si>
    <t>Laptop generated the highest product-level profit at approximately ₹6.14 lakh, followed by Smartphone at approximately ₹2.60 lakh.</t>
  </si>
  <si>
    <t>Credit Card transactions generated the highest sales among the payment modes, at approximately ₹33.53 lakh.</t>
  </si>
  <si>
    <t>Total profit varied across discount levels, with the 0% discount group recording the highest total profit in this dataset.</t>
  </si>
  <si>
    <t>PROJECT OBJECTIVE</t>
  </si>
  <si>
    <t>TOOLS &amp; TECHNIQUES</t>
  </si>
  <si>
    <t>Excel | Data Cleaning | PivotTables | PivotCharts | Data Analysis | Dashboarding</t>
  </si>
  <si>
    <t>To analyze e-commerce sales and profitability, identify key performance trends, and present actionable business insights through an Excel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</si>
</sst>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  <charset val="134"/>
      <scheme val="minor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0" fontId="5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pivotButton="1" applyNumberFormat="1"/>
    <xf numFmtId="0" fontId="0" fillId="0" borderId="0" xfId="0" applyAlignment="1">
      <alignment wrapText="1"/>
    </xf>
    <xf numFmtId="0" fontId="8" fillId="0" borderId="0" xfId="0" applyFont="1"/>
    <xf numFmtId="0" fontId="8" fillId="3" borderId="0" xfId="0" applyFont="1" applyFill="1"/>
    <xf numFmtId="0" fontId="8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9">
    <dxf>
      <numFmt numFmtId="14" formatCode="0.0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4" formatCode="yyyy/mm/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[Ecommerce_Sales_Profitability_Analysis.xlsx]Discount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Discount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Analysis'!$A$17:$A$24</c:f>
              <c:strCach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strCache>
            </c:strRef>
          </c:cat>
          <c:val>
            <c:numRef>
              <c:f>'Discount Analysis'!$B$17:$B$24</c:f>
              <c:numCache>
                <c:formatCode>General</c:formatCode>
                <c:ptCount val="7"/>
                <c:pt idx="0">
                  <c:v>423679.89</c:v>
                </c:pt>
                <c:pt idx="1">
                  <c:v>266877.86999999994</c:v>
                </c:pt>
                <c:pt idx="2">
                  <c:v>175869.12999999998</c:v>
                </c:pt>
                <c:pt idx="3">
                  <c:v>126771.59000000003</c:v>
                </c:pt>
                <c:pt idx="4">
                  <c:v>330296.92000000004</c:v>
                </c:pt>
                <c:pt idx="5">
                  <c:v>129150.92000000006</c:v>
                </c:pt>
                <c:pt idx="6">
                  <c:v>147658.95000000004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F-4D8A-A9EA-DED6DB465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802319"/>
        <c:axId val="1169049423"/>
      </c:barChart>
      <c:catAx>
        <c:axId val="100480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49423"/>
        <c:crosses val="autoZero"/>
        <c:auto val="1"/>
        <c:lblAlgn val="ctr"/>
        <c:lblOffset val="100"/>
        <c:noMultiLvlLbl val="0"/>
      </c:catAx>
      <c:valAx>
        <c:axId val="11690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0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[Ecommerce_Sales_Profitability_Analysis.xlsx]Monthly Analysis!PivotTable2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Monthly Sales &amp; Profit Trend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Analysis'!$B$4:$B$16</c:f>
              <c:numCache>
                <c:formatCode>General</c:formatCode>
                <c:ptCount val="12"/>
                <c:pt idx="0">
                  <c:v>872796</c:v>
                </c:pt>
                <c:pt idx="1">
                  <c:v>1480565</c:v>
                </c:pt>
                <c:pt idx="2">
                  <c:v>1259430.5</c:v>
                </c:pt>
                <c:pt idx="3">
                  <c:v>1004431.5</c:v>
                </c:pt>
                <c:pt idx="4">
                  <c:v>658683</c:v>
                </c:pt>
                <c:pt idx="5">
                  <c:v>488435</c:v>
                </c:pt>
                <c:pt idx="6">
                  <c:v>1069815.5</c:v>
                </c:pt>
                <c:pt idx="7">
                  <c:v>989842.5</c:v>
                </c:pt>
                <c:pt idx="8">
                  <c:v>873416</c:v>
                </c:pt>
                <c:pt idx="9">
                  <c:v>852975</c:v>
                </c:pt>
                <c:pt idx="10">
                  <c:v>974053</c:v>
                </c:pt>
                <c:pt idx="11">
                  <c:v>1718284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D-4722-9001-4CEDACED9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045488"/>
        <c:axId val="880333840"/>
      </c:lineChart>
      <c:lineChart>
        <c:grouping val="standard"/>
        <c:varyColors val="0"/>
        <c:ser>
          <c:idx val="1"/>
          <c:order val="1"/>
          <c:tx>
            <c:strRef>
              <c:f>'Monthly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Analysis'!$C$4:$C$16</c:f>
              <c:numCache>
                <c:formatCode>General</c:formatCode>
                <c:ptCount val="12"/>
                <c:pt idx="0">
                  <c:v>95731.719999999987</c:v>
                </c:pt>
                <c:pt idx="1">
                  <c:v>251660.6699999999</c:v>
                </c:pt>
                <c:pt idx="2">
                  <c:v>151695.07</c:v>
                </c:pt>
                <c:pt idx="3">
                  <c:v>119306.82000000002</c:v>
                </c:pt>
                <c:pt idx="4">
                  <c:v>76515.930000000008</c:v>
                </c:pt>
                <c:pt idx="5">
                  <c:v>78331.01999999999</c:v>
                </c:pt>
                <c:pt idx="6">
                  <c:v>139223.37</c:v>
                </c:pt>
                <c:pt idx="7">
                  <c:v>121963.71000000002</c:v>
                </c:pt>
                <c:pt idx="8">
                  <c:v>113340.82</c:v>
                </c:pt>
                <c:pt idx="9">
                  <c:v>145059.85</c:v>
                </c:pt>
                <c:pt idx="10">
                  <c:v>116052.69</c:v>
                </c:pt>
                <c:pt idx="11">
                  <c:v>191423.59999999995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D-4722-9001-4CEDACED9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943872"/>
        <c:axId val="880406320"/>
      </c:lineChart>
      <c:catAx>
        <c:axId val="102004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33840"/>
        <c:crosses val="autoZero"/>
        <c:auto val="1"/>
        <c:lblAlgn val="ctr"/>
        <c:lblOffset val="100"/>
        <c:noMultiLvlLbl val="0"/>
      </c:catAx>
      <c:valAx>
        <c:axId val="88033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45488"/>
        <c:crosses val="autoZero"/>
        <c:crossBetween val="between"/>
      </c:valAx>
      <c:valAx>
        <c:axId val="880406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43872"/>
        <c:crosses val="max"/>
        <c:crossBetween val="between"/>
      </c:valAx>
      <c:catAx>
        <c:axId val="101994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0406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[Ecommerce_Sales_Profitability_Analysis.xlsx]Pivot 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Sales by Category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4527777777777774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Analysis'!$A$15:$A$19</c:f>
              <c:strCache>
                <c:ptCount val="4"/>
                <c:pt idx="0">
                  <c:v>Bags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'Pivot Analysis'!$B$15:$B$19</c:f>
              <c:numCache>
                <c:formatCode>General</c:formatCode>
                <c:ptCount val="4"/>
                <c:pt idx="0">
                  <c:v>166910</c:v>
                </c:pt>
                <c:pt idx="1">
                  <c:v>9668092.5</c:v>
                </c:pt>
                <c:pt idx="2">
                  <c:v>2367150</c:v>
                </c:pt>
                <c:pt idx="3">
                  <c:v>40574.5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5-4DD8-B1BB-111D927967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1499279"/>
        <c:axId val="76133999"/>
      </c:barChart>
      <c:catAx>
        <c:axId val="27149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3999"/>
        <c:crosses val="autoZero"/>
        <c:auto val="1"/>
        <c:lblAlgn val="ctr"/>
        <c:lblOffset val="100"/>
        <c:noMultiLvlLbl val="0"/>
      </c:catAx>
      <c:valAx>
        <c:axId val="7613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9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[Ecommerce_Sales_Profitability_Analysis.xlsx]Pivot Analysis!PivotTable3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Profit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Category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Analysis'!$A$26:$A$30</c:f>
              <c:strCache>
                <c:ptCount val="4"/>
                <c:pt idx="0">
                  <c:v>Bags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'Pivot Analysis'!$B$26:$B$30</c:f>
              <c:numCache>
                <c:formatCode>General</c:formatCode>
                <c:ptCount val="4"/>
                <c:pt idx="0">
                  <c:v>26167.769999999997</c:v>
                </c:pt>
                <c:pt idx="1">
                  <c:v>1237117.2100000009</c:v>
                </c:pt>
                <c:pt idx="2">
                  <c:v>331603.08999999997</c:v>
                </c:pt>
                <c:pt idx="3">
                  <c:v>5417.1999999999989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4-41FB-A87A-DD46851A8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346399"/>
        <c:axId val="76185359"/>
      </c:barChart>
      <c:catAx>
        <c:axId val="7334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5359"/>
        <c:crosses val="autoZero"/>
        <c:auto val="1"/>
        <c:lblAlgn val="ctr"/>
        <c:lblOffset val="100"/>
        <c:noMultiLvlLbl val="0"/>
      </c:catAx>
      <c:valAx>
        <c:axId val="7618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[Ecommerce_Sales_Profitability_Analysis.xlsx]Region Performance!PivotTable5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Region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Performance'!$B$12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Performance'!$A$13:$A$17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Performance'!$B$13:$B$17</c:f>
              <c:numCache>
                <c:formatCode>General</c:formatCode>
                <c:ptCount val="4"/>
                <c:pt idx="0">
                  <c:v>920017.5</c:v>
                </c:pt>
                <c:pt idx="1">
                  <c:v>3325548.5</c:v>
                </c:pt>
                <c:pt idx="2">
                  <c:v>4348148.5</c:v>
                </c:pt>
                <c:pt idx="3">
                  <c:v>3649012.5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6-4A87-8791-C0CFA0DD1A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8280991"/>
        <c:axId val="76072079"/>
      </c:barChart>
      <c:catAx>
        <c:axId val="39828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2079"/>
        <c:crosses val="autoZero"/>
        <c:auto val="1"/>
        <c:lblAlgn val="ctr"/>
        <c:lblOffset val="100"/>
        <c:noMultiLvlLbl val="0"/>
      </c:catAx>
      <c:valAx>
        <c:axId val="76072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8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[Ecommerce_Sales_Profitability_Analysis.xlsx]Product Performance!PivotTable6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Top 5 Products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Performance'!$B$23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Performance'!$A$24:$A$29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'Product Performance'!$B$24:$B$29</c:f>
              <c:numCache>
                <c:formatCode>General</c:formatCode>
                <c:ptCount val="5"/>
                <c:pt idx="0">
                  <c:v>614147.32999999996</c:v>
                </c:pt>
                <c:pt idx="1">
                  <c:v>259962.36000000007</c:v>
                </c:pt>
                <c:pt idx="2">
                  <c:v>158824.57999999999</c:v>
                </c:pt>
                <c:pt idx="3">
                  <c:v>149610.91999999995</c:v>
                </c:pt>
                <c:pt idx="4">
                  <c:v>126077.84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C12-A58F-23D498934C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6035983"/>
        <c:axId val="76071119"/>
      </c:barChart>
      <c:catAx>
        <c:axId val="4560359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1119"/>
        <c:crosses val="autoZero"/>
        <c:auto val="1"/>
        <c:lblAlgn val="ctr"/>
        <c:lblOffset val="100"/>
        <c:noMultiLvlLbl val="0"/>
      </c:catAx>
      <c:valAx>
        <c:axId val="76071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03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12</xdr:row>
      <xdr:rowOff>15240</xdr:rowOff>
    </xdr:from>
    <xdr:to>
      <xdr:col>9</xdr:col>
      <xdr:colOff>464820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CCD44-D1BA-99C7-1592-439A021CA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15551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03CC6-838D-413D-8956-C989182AE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606488</xdr:colOff>
      <xdr:row>9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B9B46A-3057-420D-9391-AFEAD92A9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186610</xdr:rowOff>
    </xdr:from>
    <xdr:to>
      <xdr:col>8</xdr:col>
      <xdr:colOff>7776</xdr:colOff>
      <xdr:row>39</xdr:row>
      <xdr:rowOff>186611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780A66-3D36-427B-A971-013EB273F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606488</xdr:colOff>
      <xdr:row>23</xdr:row>
      <xdr:rowOff>186611</xdr:rowOff>
    </xdr:from>
    <xdr:to>
      <xdr:col>14</xdr:col>
      <xdr:colOff>1111897</xdr:colOff>
      <xdr:row>40</xdr:row>
      <xdr:rowOff>7774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5C73B5-AD58-4F87-ACAA-164C23665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186611</xdr:rowOff>
    </xdr:from>
    <xdr:to>
      <xdr:col>8</xdr:col>
      <xdr:colOff>15550</xdr:colOff>
      <xdr:row>58</xdr:row>
      <xdr:rowOff>23326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FE4AA7-AA94-417A-8543-B95DA97F0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swini" refreshedDate="46293.496577314814" createdVersion="8" refreshedVersion="8" minRefreshableVersion="3" recordCount="500" xr:uid="{1A03E207-BEB9-470A-A461-08D13308AE2A}">
  <cacheSource type="worksheet">
    <worksheetSource name="Table2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6-01-01T00:00:00"/>
    </cacheField>
    <cacheField name="Customer ID" numFmtId="0">
      <sharedItems/>
    </cacheField>
    <cacheField name="Customer Name" numFmtId="0">
      <sharedItems/>
    </cacheField>
    <cacheField name="Product" numFmtId="0">
      <sharedItems count="15">
        <s v="Keyboard"/>
        <s v="Laptop"/>
        <s v="Office Chair"/>
        <s v="Backpack"/>
        <s v="Wireless Mouse"/>
        <s v="Notebook"/>
        <s v="Desk"/>
        <s v="USB Cable"/>
        <s v="Smartphone"/>
        <s v="Water Bottle"/>
        <s v="Bookshelf"/>
        <s v="Monitor"/>
        <s v="Printer"/>
        <s v="Pen Set"/>
        <s v="Headphones"/>
      </sharedItems>
    </cacheField>
    <cacheField name="Category" numFmtId="0">
      <sharedItems count="4">
        <s v="Electronics"/>
        <s v="Furniture"/>
        <s v="Bags"/>
        <s v="Stationery"/>
      </sharedItems>
    </cacheField>
    <cacheField name="Sub-Category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City" numFmtId="0">
      <sharedItems/>
    </cacheField>
    <cacheField name="State" numFmtId="0">
      <sharedItems/>
    </cacheField>
    <cacheField name="Quantity" numFmtId="0">
      <sharedItems containsSemiMixedTypes="0" containsString="0" containsNumber="1" containsInteger="1" minValue="1" maxValue="5"/>
    </cacheField>
    <cacheField name="Sales" numFmtId="0">
      <sharedItems containsSemiMixedTypes="0" containsString="0" containsNumber="1" minValue="126" maxValue="261250"/>
    </cacheField>
    <cacheField name="Discount" numFmtId="0">
      <sharedItems containsSemiMixedTypes="0" containsString="0" containsNumber="1" minValue="0" maxValue="0.3" count="7">
        <n v="0.05"/>
        <n v="0.3"/>
        <n v="0"/>
        <n v="0.2"/>
        <n v="0.1"/>
        <n v="0.15"/>
        <n v="0.25"/>
      </sharedItems>
    </cacheField>
    <cacheField name="Profit" numFmtId="0">
      <sharedItems containsSemiMixedTypes="0" containsString="0" containsNumber="1" minValue="-2356.98" maxValue="49565.87" count="499">
        <n v="1668.65"/>
        <n v="3071.7"/>
        <n v="7482.28"/>
        <n v="17975.52"/>
        <n v="1315.86"/>
        <n v="314.94"/>
        <n v="482.69"/>
        <n v="245.63"/>
        <n v="40.31"/>
        <n v="1843.25"/>
        <n v="5679.13"/>
        <n v="60.68"/>
        <n v="192.22"/>
        <n v="2596.08"/>
        <n v="336.84"/>
        <n v="32.880000000000003"/>
        <n v="421.64"/>
        <n v="7288.31"/>
        <n v="1823.05"/>
        <n v="39.18"/>
        <n v="-16.78"/>
        <n v="16862.490000000002"/>
        <n v="294.12"/>
        <n v="6282.17"/>
        <n v="102.59"/>
        <n v="144.54"/>
        <n v="157.85"/>
        <n v="3295.97"/>
        <n v="921.29"/>
        <n v="420.5"/>
        <n v="3114.28"/>
        <n v="4303.13"/>
        <n v="815.76"/>
        <n v="110.86"/>
        <n v="85.08"/>
        <n v="20.3"/>
        <n v="125.85"/>
        <n v="1424.6"/>
        <n v="3124.31"/>
        <n v="803.44"/>
        <n v="5407.26"/>
        <n v="1513.62"/>
        <n v="34.92"/>
        <n v="289.95"/>
        <n v="683.11"/>
        <n v="910.08"/>
        <n v="1215.4100000000001"/>
        <n v="92.27"/>
        <n v="324.45"/>
        <n v="3151.68"/>
        <n v="3036.72"/>
        <n v="1200.3499999999999"/>
        <n v="5104.88"/>
        <n v="744.32"/>
        <n v="1471.86"/>
        <n v="37208.839999999997"/>
        <n v="187.85"/>
        <n v="-1190.49"/>
        <n v="3533.25"/>
        <n v="484.87"/>
        <n v="754.84"/>
        <n v="4809.7299999999996"/>
        <n v="42.32"/>
        <n v="25561.96"/>
        <n v="-361.06"/>
        <n v="804.36"/>
        <n v="54.83"/>
        <n v="754.17"/>
        <n v="1331.26"/>
        <n v="244.47"/>
        <n v="5.26"/>
        <n v="29438.58"/>
        <n v="1629.08"/>
        <n v="3131.9"/>
        <n v="1109.82"/>
        <n v="10730.42"/>
        <n v="10873.12"/>
        <n v="28269.67"/>
        <n v="2954.55"/>
        <n v="3597.02"/>
        <n v="436.19"/>
        <n v="77.75"/>
        <n v="21295.72"/>
        <n v="252.41"/>
        <n v="15473.07"/>
        <n v="13302.45"/>
        <n v="41.99"/>
        <n v="125.28"/>
        <n v="5217.7"/>
        <n v="5325.3"/>
        <n v="6139.44"/>
        <n v="20.170000000000002"/>
        <n v="4117.1499999999996"/>
        <n v="2472.13"/>
        <n v="460.2"/>
        <n v="6972.3"/>
        <n v="1130.07"/>
        <n v="3340.74"/>
        <n v="4640.38"/>
        <n v="36.33"/>
        <n v="2371.4899999999998"/>
        <n v="22303.759999999998"/>
        <n v="21.44"/>
        <n v="4206.21"/>
        <n v="1949.07"/>
        <n v="13460.29"/>
        <n v="481.67"/>
        <n v="1028.49"/>
        <n v="285.22000000000003"/>
        <n v="350.12"/>
        <n v="155.94999999999999"/>
        <n v="134.88999999999999"/>
        <n v="372.47"/>
        <n v="1655.71"/>
        <n v="451.05"/>
        <n v="199.72"/>
        <n v="87.84"/>
        <n v="271.49"/>
        <n v="-213.55"/>
        <n v="322.73"/>
        <n v="8215.7099999999991"/>
        <n v="2427.1999999999998"/>
        <n v="203.91"/>
        <n v="1500.04"/>
        <n v="169.05"/>
        <n v="88.42"/>
        <n v="10.38"/>
        <n v="23010.07"/>
        <n v="72.05"/>
        <n v="279.91000000000003"/>
        <n v="299.02"/>
        <n v="63.23"/>
        <n v="3646.99"/>
        <n v="8451.69"/>
        <n v="1833.06"/>
        <n v="30.85"/>
        <n v="3356.61"/>
        <n v="12472.96"/>
        <n v="692.3"/>
        <n v="3247.43"/>
        <n v="1153.83"/>
        <n v="2231.36"/>
        <n v="199.65"/>
        <n v="3089.74"/>
        <n v="6417.79"/>
        <n v="2995.91"/>
        <n v="2961.68"/>
        <n v="6986.62"/>
        <n v="62.68"/>
        <n v="-2.91"/>
        <n v="366.76"/>
        <n v="1597.52"/>
        <n v="502.2"/>
        <n v="6360.04"/>
        <n v="655.92"/>
        <n v="33.619999999999997"/>
        <n v="1822.59"/>
        <n v="417.23"/>
        <n v="5499.79"/>
        <n v="3042.31"/>
        <n v="76.34"/>
        <n v="173.43"/>
        <n v="4408.63"/>
        <n v="321.43"/>
        <n v="351.54"/>
        <n v="410.3"/>
        <n v="244.32"/>
        <n v="264.23"/>
        <n v="2291.48"/>
        <n v="118.28"/>
        <n v="3638.89"/>
        <n v="160.58000000000001"/>
        <n v="4054.05"/>
        <n v="832.46"/>
        <n v="384.96"/>
        <n v="437.06"/>
        <n v="25.22"/>
        <n v="261.51"/>
        <n v="782.92"/>
        <n v="366.7"/>
        <n v="11412.88"/>
        <n v="922.59"/>
        <n v="782.84"/>
        <n v="1488.89"/>
        <n v="148.5"/>
        <n v="897.94"/>
        <n v="12781.11"/>
        <n v="690.14"/>
        <n v="381.87"/>
        <n v="1983.78"/>
        <n v="192.33"/>
        <n v="1005.61"/>
        <n v="417.75"/>
        <n v="26434.69"/>
        <n v="15.92"/>
        <n v="3736.97"/>
        <n v="1178.23"/>
        <n v="535.79"/>
        <n v="416.43"/>
        <n v="326.45999999999998"/>
        <n v="111.6"/>
        <n v="4150.46"/>
        <n v="1074.54"/>
        <n v="14281.66"/>
        <n v="1502.58"/>
        <n v="143.05000000000001"/>
        <n v="1133.93"/>
        <n v="436.73"/>
        <n v="25.27"/>
        <n v="757.77"/>
        <n v="327.7"/>
        <n v="9742.24"/>
        <n v="243.35"/>
        <n v="706.77"/>
        <n v="58.94"/>
        <n v="20.77"/>
        <n v="305.10000000000002"/>
        <n v="101.8"/>
        <n v="19.72"/>
        <n v="4465.28"/>
        <n v="3506.79"/>
        <n v="1263.58"/>
        <n v="429.78"/>
        <n v="30.52"/>
        <n v="26.64"/>
        <n v="1277.77"/>
        <n v="3101.66"/>
        <n v="320.08999999999997"/>
        <n v="211.26"/>
        <n v="173.13"/>
        <n v="41.05"/>
        <n v="353.88"/>
        <n v="2162.91"/>
        <n v="6080.74"/>
        <n v="3679.01"/>
        <n v="2074.6"/>
        <n v="236.78"/>
        <n v="91.91"/>
        <n v="1223.0899999999999"/>
        <n v="14802.57"/>
        <n v="2290.62"/>
        <n v="9294.83"/>
        <n v="548.65"/>
        <n v="1405.74"/>
        <n v="372.26"/>
        <n v="3981.16"/>
        <n v="4030.17"/>
        <n v="11.95"/>
        <n v="762.72"/>
        <n v="7244.21"/>
        <n v="1234.0999999999999"/>
        <n v="3585.51"/>
        <n v="817.62"/>
        <n v="1093.22"/>
        <n v="-752.52"/>
        <n v="14955.33"/>
        <n v="23.54"/>
        <n v="39789.68"/>
        <n v="3161.08"/>
        <n v="314.64999999999998"/>
        <n v="1971.3"/>
        <n v="172.78"/>
        <n v="37196.74"/>
        <n v="913.46"/>
        <n v="85.86"/>
        <n v="66.55"/>
        <n v="-117.87"/>
        <n v="50.85"/>
        <n v="18523.490000000002"/>
        <n v="67.31"/>
        <n v="21.78"/>
        <n v="4778.4399999999996"/>
        <n v="338.25"/>
        <n v="294.91000000000003"/>
        <n v="2572.2600000000002"/>
        <n v="9931.4699999999993"/>
        <n v="884.45"/>
        <n v="1497.26"/>
        <n v="30231.99"/>
        <n v="1568.99"/>
        <n v="624.75"/>
        <n v="2.4300000000000002"/>
        <n v="1978.3"/>
        <n v="26228.02"/>
        <n v="195.18"/>
        <n v="482.64"/>
        <n v="1456.65"/>
        <n v="256.48"/>
        <n v="4879.26"/>
        <n v="1354.47"/>
        <n v="776.29"/>
        <n v="3077.95"/>
        <n v="1858.97"/>
        <n v="37.83"/>
        <n v="4958.2700000000004"/>
        <n v="3626.95"/>
        <n v="67.489999999999995"/>
        <n v="1037.99"/>
        <n v="1746.08"/>
        <n v="475.27"/>
        <n v="224.73"/>
        <n v="695.38"/>
        <n v="135.31"/>
        <n v="711.22"/>
        <n v="438.25"/>
        <n v="5092.9799999999996"/>
        <n v="1497.82"/>
        <n v="26714.91"/>
        <n v="12473.32"/>
        <n v="236.08"/>
        <n v="6057.69"/>
        <n v="3942.05"/>
        <n v="2811.49"/>
        <n v="5379.09"/>
        <n v="4286.82"/>
        <n v="43.06"/>
        <n v="1006.96"/>
        <n v="124.87"/>
        <n v="267.87"/>
        <n v="688.85"/>
        <n v="5951.12"/>
        <n v="160.72"/>
        <n v="1088.5999999999999"/>
        <n v="3764.1"/>
        <n v="5774.2"/>
        <n v="235.17"/>
        <n v="7359.24"/>
        <n v="763.23"/>
        <n v="392.86"/>
        <n v="18.350000000000001"/>
        <n v="5133.42"/>
        <n v="947.87"/>
        <n v="2645.06"/>
        <n v="1006.64"/>
        <n v="49.1"/>
        <n v="1091.4000000000001"/>
        <n v="78.23"/>
        <n v="3641.49"/>
        <n v="35945.129999999997"/>
        <n v="1733.8"/>
        <n v="69.8"/>
        <n v="131.9"/>
        <n v="84.63"/>
        <n v="3384.65"/>
        <n v="482.62"/>
        <n v="13740.98"/>
        <n v="4040.56"/>
        <n v="256.27999999999997"/>
        <n v="180.99"/>
        <n v="375.23"/>
        <n v="1695.62"/>
        <n v="118.08"/>
        <n v="537.53"/>
        <n v="1968.37"/>
        <n v="89.01"/>
        <n v="1876.56"/>
        <n v="2184.92"/>
        <n v="62.97"/>
        <n v="2152.59"/>
        <n v="9053.3700000000008"/>
        <n v="4341.28"/>
        <n v="2298.1799999999998"/>
        <n v="4524.8999999999996"/>
        <n v="113.52"/>
        <n v="115.42"/>
        <n v="1010.47"/>
        <n v="124.58"/>
        <n v="7879.66"/>
        <n v="130.22999999999999"/>
        <n v="1455.43"/>
        <n v="15226.89"/>
        <n v="-3.89"/>
        <n v="4863.8"/>
        <n v="189.28"/>
        <n v="503.27"/>
        <n v="12931.64"/>
        <n v="836.07"/>
        <n v="2969.24"/>
        <n v="23438.79"/>
        <n v="-2356.98"/>
        <n v="1085.53"/>
        <n v="134.97999999999999"/>
        <n v="1212.3800000000001"/>
        <n v="107.45"/>
        <n v="314.57"/>
        <n v="2385.54"/>
        <n v="60.63"/>
        <n v="2528.08"/>
        <n v="153.65"/>
        <n v="-6.62"/>
        <n v="792.8"/>
        <n v="7075.65"/>
        <n v="168.45"/>
        <n v="1704.36"/>
        <n v="412.47"/>
        <n v="28.64"/>
        <n v="102.66"/>
        <n v="770.54"/>
        <n v="97.87"/>
        <n v="127.57"/>
        <n v="-16.55"/>
        <n v="402.78"/>
        <n v="1492.72"/>
        <n v="5451.92"/>
        <n v="2390.15"/>
        <n v="311.73"/>
        <n v="503.33"/>
        <n v="6419.98"/>
        <n v="373.07"/>
        <n v="9.8699999999999992"/>
        <n v="3602.84"/>
        <n v="119.93"/>
        <n v="1448.68"/>
        <n v="27.17"/>
        <n v="6071.63"/>
        <n v="6024.59"/>
        <n v="828.82"/>
        <n v="1891.1"/>
        <n v="13345.67"/>
        <n v="3855.23"/>
        <n v="2241.31"/>
        <n v="10932.72"/>
        <n v="50.3"/>
        <n v="322.14999999999998"/>
        <n v="7201.11"/>
        <n v="176.77"/>
        <n v="51.29"/>
        <n v="2699.73"/>
        <n v="40.99"/>
        <n v="1917.8"/>
        <n v="10515.29"/>
        <n v="2728.02"/>
        <n v="77.599999999999994"/>
        <n v="81.510000000000005"/>
        <n v="381.73"/>
        <n v="10981.77"/>
        <n v="1395.47"/>
        <n v="405.04"/>
        <n v="5337.78"/>
        <n v="270.06"/>
        <n v="67.650000000000006"/>
        <n v="1626.97"/>
        <n v="1463.03"/>
        <n v="744.43"/>
        <n v="164.53"/>
        <n v="28.32"/>
        <n v="4401.25"/>
        <n v="2120.52"/>
        <n v="210.46"/>
        <n v="839.87"/>
        <n v="207.79"/>
        <n v="82.48"/>
        <n v="5780.75"/>
        <n v="1637.49"/>
        <n v="1778.05"/>
        <n v="1384.65"/>
        <n v="1516.89"/>
        <n v="132.46"/>
        <n v="13331.18"/>
        <n v="384.53"/>
        <n v="591.01"/>
        <n v="34.49"/>
        <n v="146.69999999999999"/>
        <n v="265.24"/>
        <n v="1851.96"/>
        <n v="2486.5"/>
        <n v="345.89"/>
        <n v="1041.79"/>
        <n v="148.96"/>
        <n v="4349.8"/>
        <n v="1122.58"/>
        <n v="6476.37"/>
        <n v="843.89"/>
        <n v="2126.2600000000002"/>
        <n v="-41.34"/>
        <n v="1334.86"/>
        <n v="73.19"/>
        <n v="916.16"/>
        <n v="3767.43"/>
        <n v="4340.3599999999997"/>
        <n v="12070.61"/>
        <n v="79.87"/>
        <n v="136.07"/>
        <n v="804.42"/>
        <n v="3104.34"/>
        <n v="18350.099999999999"/>
        <n v="5397.25"/>
        <n v="3237.97"/>
        <n v="1.5"/>
        <n v="268.49"/>
        <n v="1563.86"/>
        <n v="16341.98"/>
        <n v="40.409999999999997"/>
        <n v="312.83"/>
        <n v="49565.87"/>
        <n v="372.36"/>
        <n v="7852.58"/>
        <n v="777.38"/>
        <n v="34505.550000000003"/>
      </sharedItems>
    </cacheField>
    <cacheField name="Payment Mode" numFmtId="0">
      <sharedItems count="5">
        <s v="Net Banking"/>
        <s v="Credit Card"/>
        <s v="Cash"/>
        <s v="UPI"/>
        <s v="Debit Car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unt="12">
        <s v="May"/>
        <s v="Nov"/>
        <s v="Sep"/>
        <s v="Jul"/>
        <s v="Apr"/>
        <s v="Jun"/>
        <s v="Oct"/>
        <s v="Mar"/>
        <s v="Dec"/>
        <s v="Jan"/>
        <s v="Feb"/>
        <s v="Aug"/>
      </sharedItems>
    </cacheField>
    <cacheField name="Profit Margin" numFmtId="10">
      <sharedItems containsSemiMixedTypes="0" containsString="0" containsNumber="1" minValue="-2.95773913043478E-4" maxValue="2.7971749999999998E-3"/>
    </cacheField>
    <cacheField name="Sales Category" numFmtId="0">
      <sharedItems/>
    </cacheField>
    <cacheField name="month num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1"/>
    <d v="2025-05-23T00:00:00"/>
    <s v="CUST055"/>
    <s v="Ananya Kumar"/>
    <x v="0"/>
    <x v="0"/>
    <s v="Accessories"/>
    <x v="0"/>
    <s v="Jaipur"/>
    <s v="Rajasthan"/>
    <n v="4"/>
    <n v="6840"/>
    <x v="0"/>
    <x v="0"/>
    <x v="0"/>
    <n v="2025"/>
    <x v="0"/>
    <n v="2.4395467836257302E-3"/>
    <s v="Low"/>
    <n v="5"/>
  </r>
  <r>
    <s v="ORD0002"/>
    <d v="2025-11-30T00:00:00"/>
    <s v="CUST013"/>
    <s v="Rahul Rao"/>
    <x v="1"/>
    <x v="0"/>
    <s v="Computers"/>
    <x v="1"/>
    <s v="Chennai"/>
    <s v="Tamil Nadu"/>
    <n v="5"/>
    <n v="192500"/>
    <x v="1"/>
    <x v="1"/>
    <x v="1"/>
    <n v="2025"/>
    <x v="1"/>
    <n v="1.5956883116883099E-4"/>
    <s v="High"/>
    <n v="11"/>
  </r>
  <r>
    <s v="ORD0003"/>
    <d v="2025-09-06T00:00:00"/>
    <s v="CUST022"/>
    <s v="Arjun Verma"/>
    <x v="2"/>
    <x v="1"/>
    <s v="Chairs"/>
    <x v="0"/>
    <s v="Delhi"/>
    <s v="Delhi"/>
    <n v="4"/>
    <n v="32300"/>
    <x v="0"/>
    <x v="2"/>
    <x v="1"/>
    <n v="2025"/>
    <x v="2"/>
    <n v="2.3164953560371499E-3"/>
    <s v="High"/>
    <n v="9"/>
  </r>
  <r>
    <s v="ORD0004"/>
    <d v="2025-07-19T00:00:00"/>
    <s v="CUST049"/>
    <s v="Neha Gupta"/>
    <x v="1"/>
    <x v="0"/>
    <s v="Computers"/>
    <x v="0"/>
    <s v="Jaipur"/>
    <s v="Rajasthan"/>
    <n v="3"/>
    <n v="115500"/>
    <x v="1"/>
    <x v="3"/>
    <x v="0"/>
    <n v="2025"/>
    <x v="3"/>
    <n v="1.55632207792208E-3"/>
    <s v="High"/>
    <n v="7"/>
  </r>
  <r>
    <s v="ORD0005"/>
    <d v="2025-04-08T00:00:00"/>
    <s v="CUST063"/>
    <s v="Varun Verma"/>
    <x v="0"/>
    <x v="0"/>
    <s v="Accessories"/>
    <x v="1"/>
    <s v="Chennai"/>
    <s v="Tamil Nadu"/>
    <n v="3"/>
    <n v="5130"/>
    <x v="0"/>
    <x v="4"/>
    <x v="0"/>
    <n v="2025"/>
    <x v="4"/>
    <n v="2.5650292397660802E-3"/>
    <s v="Low"/>
    <n v="4"/>
  </r>
  <r>
    <s v="ORD0006"/>
    <d v="2025-06-10T00:00:00"/>
    <s v="CUST008"/>
    <s v="Isha Rao"/>
    <x v="3"/>
    <x v="2"/>
    <s v="Travel"/>
    <x v="2"/>
    <s v="Mumbai"/>
    <s v="Maharashtra"/>
    <n v="1"/>
    <n v="1600"/>
    <x v="2"/>
    <x v="5"/>
    <x v="0"/>
    <n v="2025"/>
    <x v="5"/>
    <n v="1.9683750000000001E-3"/>
    <s v="Low"/>
    <n v="6"/>
  </r>
  <r>
    <s v="ORD0007"/>
    <d v="2025-09-18T00:00:00"/>
    <s v="CUST021"/>
    <s v="Kavya Reddy"/>
    <x v="1"/>
    <x v="0"/>
    <s v="Computers"/>
    <x v="0"/>
    <s v="Gurugram"/>
    <s v="Haryana"/>
    <n v="1"/>
    <n v="38500"/>
    <x v="1"/>
    <x v="6"/>
    <x v="1"/>
    <n v="2025"/>
    <x v="2"/>
    <n v="1.25374025974026E-4"/>
    <s v="High"/>
    <n v="9"/>
  </r>
  <r>
    <s v="ORD0008"/>
    <d v="2025-10-19T00:00:00"/>
    <s v="CUST052"/>
    <s v="Aarav Iyer"/>
    <x v="4"/>
    <x v="0"/>
    <s v="Accessories"/>
    <x v="0"/>
    <s v="Delhi"/>
    <s v="Delhi"/>
    <n v="2"/>
    <n v="1920"/>
    <x v="3"/>
    <x v="7"/>
    <x v="2"/>
    <n v="2025"/>
    <x v="6"/>
    <n v="1.2793229166666699E-3"/>
    <s v="Low"/>
    <n v="10"/>
  </r>
  <r>
    <s v="ORD0009"/>
    <d v="2025-09-25T00:00:00"/>
    <s v="CUST075"/>
    <s v="Priya Rao"/>
    <x v="5"/>
    <x v="3"/>
    <s v="Office Supplies"/>
    <x v="0"/>
    <s v="Delhi"/>
    <s v="Delhi"/>
    <n v="3"/>
    <n v="486"/>
    <x v="4"/>
    <x v="8"/>
    <x v="1"/>
    <n v="2025"/>
    <x v="2"/>
    <n v="8.2942386831275701E-4"/>
    <s v="Low"/>
    <n v="9"/>
  </r>
  <r>
    <s v="ORD0010"/>
    <d v="2025-03-09T00:00:00"/>
    <s v="CUST034"/>
    <s v="Rohan Kumar"/>
    <x v="2"/>
    <x v="1"/>
    <s v="Chairs"/>
    <x v="2"/>
    <s v="Ahmedabad"/>
    <s v="Gujarat"/>
    <n v="3"/>
    <n v="21675"/>
    <x v="5"/>
    <x v="9"/>
    <x v="3"/>
    <n v="2025"/>
    <x v="7"/>
    <n v="8.5040369088812005E-4"/>
    <s v="Low"/>
    <n v="3"/>
  </r>
  <r>
    <s v="ORD0011"/>
    <d v="2025-11-15T00:00:00"/>
    <s v="CUST002"/>
    <s v="Kavya Kumar"/>
    <x v="6"/>
    <x v="1"/>
    <s v="Tables"/>
    <x v="1"/>
    <s v="Hyderabad"/>
    <s v="Telangana"/>
    <n v="5"/>
    <n v="60000"/>
    <x v="2"/>
    <x v="10"/>
    <x v="4"/>
    <n v="2025"/>
    <x v="1"/>
    <n v="9.4652166666666705E-4"/>
    <s v="High"/>
    <n v="11"/>
  </r>
  <r>
    <s v="ORD0012"/>
    <d v="2025-06-28T00:00:00"/>
    <s v="CUST017"/>
    <s v="Rahul Gupta"/>
    <x v="7"/>
    <x v="0"/>
    <s v="Accessories"/>
    <x v="2"/>
    <s v="Pune"/>
    <s v="Maharashtra"/>
    <n v="1"/>
    <n v="427.5"/>
    <x v="0"/>
    <x v="11"/>
    <x v="0"/>
    <n v="2025"/>
    <x v="5"/>
    <n v="1.41941520467836E-3"/>
    <s v="Low"/>
    <n v="6"/>
  </r>
  <r>
    <s v="ORD0013"/>
    <d v="2025-12-01T00:00:00"/>
    <s v="CUST039"/>
    <s v="Ananya Reddy"/>
    <x v="5"/>
    <x v="3"/>
    <s v="Office Supplies"/>
    <x v="1"/>
    <s v="Hyderabad"/>
    <s v="Telangana"/>
    <n v="5"/>
    <n v="900"/>
    <x v="2"/>
    <x v="12"/>
    <x v="3"/>
    <n v="2025"/>
    <x v="8"/>
    <n v="2.1357777777777798E-3"/>
    <s v="Low"/>
    <n v="12"/>
  </r>
  <r>
    <s v="ORD0014"/>
    <d v="2025-03-01T00:00:00"/>
    <s v="CUST018"/>
    <s v="Shreya Nair"/>
    <x v="8"/>
    <x v="0"/>
    <s v="Phones"/>
    <x v="0"/>
    <s v="Jaipur"/>
    <s v="Rajasthan"/>
    <n v="1"/>
    <n v="21000"/>
    <x v="6"/>
    <x v="13"/>
    <x v="0"/>
    <n v="2025"/>
    <x v="7"/>
    <n v="1.2362285714285701E-3"/>
    <s v="Low"/>
    <n v="3"/>
  </r>
  <r>
    <s v="ORD0015"/>
    <d v="2025-06-25T00:00:00"/>
    <s v="CUST027"/>
    <s v="Kiran Singh"/>
    <x v="3"/>
    <x v="2"/>
    <s v="Travel"/>
    <x v="2"/>
    <s v="Ahmedabad"/>
    <s v="Gujarat"/>
    <n v="2"/>
    <n v="2400"/>
    <x v="6"/>
    <x v="14"/>
    <x v="2"/>
    <n v="2025"/>
    <x v="5"/>
    <n v="1.4035E-3"/>
    <s v="Low"/>
    <n v="6"/>
  </r>
  <r>
    <s v="ORD0016"/>
    <d v="2025-01-27T00:00:00"/>
    <s v="CUST033"/>
    <s v="Nikhil Patel"/>
    <x v="7"/>
    <x v="0"/>
    <s v="Accessories"/>
    <x v="2"/>
    <s v="Pune"/>
    <s v="Maharashtra"/>
    <n v="1"/>
    <n v="337.5"/>
    <x v="6"/>
    <x v="15"/>
    <x v="3"/>
    <n v="2025"/>
    <x v="9"/>
    <n v="9.7422222222222203E-4"/>
    <s v="Low"/>
    <n v="1"/>
  </r>
  <r>
    <s v="ORD0017"/>
    <d v="2025-03-08T00:00:00"/>
    <s v="CUST043"/>
    <s v="Arjun Gupta"/>
    <x v="9"/>
    <x v="2"/>
    <s v="Travel"/>
    <x v="1"/>
    <s v="Bengaluru"/>
    <s v="Karnataka"/>
    <n v="3"/>
    <n v="1995"/>
    <x v="0"/>
    <x v="16"/>
    <x v="2"/>
    <n v="2025"/>
    <x v="7"/>
    <n v="2.1134837092731799E-3"/>
    <s v="Low"/>
    <n v="3"/>
  </r>
  <r>
    <s v="ORD0018"/>
    <d v="2025-02-27T00:00:00"/>
    <s v="CUST072"/>
    <s v="Rohan Iyer"/>
    <x v="1"/>
    <x v="0"/>
    <s v="Computers"/>
    <x v="0"/>
    <s v="Jaipur"/>
    <s v="Rajasthan"/>
    <n v="1"/>
    <n v="41250"/>
    <x v="6"/>
    <x v="17"/>
    <x v="4"/>
    <n v="2025"/>
    <x v="10"/>
    <n v="1.7668630303030301E-3"/>
    <s v="High"/>
    <n v="2"/>
  </r>
  <r>
    <s v="ORD0019"/>
    <d v="2025-03-17T00:00:00"/>
    <s v="CUST075"/>
    <s v="Priya Rao"/>
    <x v="10"/>
    <x v="1"/>
    <s v="Storage"/>
    <x v="0"/>
    <s v="Delhi"/>
    <s v="Delhi"/>
    <n v="4"/>
    <n v="24700"/>
    <x v="0"/>
    <x v="18"/>
    <x v="3"/>
    <n v="2025"/>
    <x v="7"/>
    <n v="7.38076923076923E-4"/>
    <s v="Low"/>
    <n v="3"/>
  </r>
  <r>
    <s v="ORD0020"/>
    <d v="2025-12-16T00:00:00"/>
    <s v="CUST046"/>
    <s v="Pooja Patel"/>
    <x v="11"/>
    <x v="0"/>
    <s v="Computers"/>
    <x v="3"/>
    <s v="Kolkata"/>
    <s v="West Bengal"/>
    <n v="2"/>
    <n v="21750"/>
    <x v="6"/>
    <x v="19"/>
    <x v="2"/>
    <n v="2025"/>
    <x v="8"/>
    <n v="1.8013793103448301E-5"/>
    <s v="Low"/>
    <n v="12"/>
  </r>
  <r>
    <s v="ORD0021"/>
    <d v="2025-03-21T00:00:00"/>
    <s v="CUST080"/>
    <s v="Isha Verma"/>
    <x v="3"/>
    <x v="2"/>
    <s v="Travel"/>
    <x v="1"/>
    <s v="Hyderabad"/>
    <s v="Telangana"/>
    <n v="2"/>
    <n v="2240"/>
    <x v="1"/>
    <x v="20"/>
    <x v="1"/>
    <n v="2025"/>
    <x v="7"/>
    <n v="-7.4910714285714302E-5"/>
    <s v="Low"/>
    <n v="3"/>
  </r>
  <r>
    <s v="ORD0022"/>
    <d v="2025-04-02T00:00:00"/>
    <s v="CUST053"/>
    <s v="Divya Sharma"/>
    <x v="1"/>
    <x v="0"/>
    <s v="Computers"/>
    <x v="1"/>
    <s v="Chennai"/>
    <s v="Tamil Nadu"/>
    <n v="3"/>
    <n v="115500"/>
    <x v="1"/>
    <x v="21"/>
    <x v="1"/>
    <n v="2025"/>
    <x v="4"/>
    <n v="1.45995584415584E-3"/>
    <s v="High"/>
    <n v="4"/>
  </r>
  <r>
    <s v="ORD0023"/>
    <d v="2025-12-26T00:00:00"/>
    <s v="CUST035"/>
    <s v="Isha Singh"/>
    <x v="0"/>
    <x v="0"/>
    <s v="Accessories"/>
    <x v="0"/>
    <s v="Jaipur"/>
    <s v="Rajasthan"/>
    <n v="1"/>
    <n v="1530"/>
    <x v="5"/>
    <x v="22"/>
    <x v="1"/>
    <n v="2025"/>
    <x v="8"/>
    <n v="1.9223529411764701E-3"/>
    <s v="Low"/>
    <n v="12"/>
  </r>
  <r>
    <s v="ORD0024"/>
    <d v="2025-08-24T00:00:00"/>
    <s v="CUST026"/>
    <s v="Kavya Patel"/>
    <x v="12"/>
    <x v="0"/>
    <s v="Office Equipment"/>
    <x v="3"/>
    <s v="Kolkata"/>
    <s v="West Bengal"/>
    <n v="3"/>
    <n v="31050"/>
    <x v="4"/>
    <x v="23"/>
    <x v="1"/>
    <n v="2025"/>
    <x v="11"/>
    <n v="2.02324315619968E-3"/>
    <s v="High"/>
    <n v="8"/>
  </r>
  <r>
    <s v="ORD0025"/>
    <d v="2025-04-09T00:00:00"/>
    <s v="CUST004"/>
    <s v="Akash Rao"/>
    <x v="13"/>
    <x v="3"/>
    <s v="Office Supplies"/>
    <x v="1"/>
    <s v="Bengaluru"/>
    <s v="Karnataka"/>
    <n v="4"/>
    <n v="900"/>
    <x v="4"/>
    <x v="24"/>
    <x v="4"/>
    <n v="2025"/>
    <x v="4"/>
    <n v="1.1398888888888899E-3"/>
    <s v="Low"/>
    <n v="4"/>
  </r>
  <r>
    <s v="ORD0026"/>
    <d v="2025-09-18T00:00:00"/>
    <s v="CUST045"/>
    <s v="Aditya Reddy"/>
    <x v="13"/>
    <x v="3"/>
    <s v="Office Supplies"/>
    <x v="2"/>
    <s v="Pune"/>
    <s v="Maharashtra"/>
    <n v="4"/>
    <n v="750"/>
    <x v="6"/>
    <x v="25"/>
    <x v="3"/>
    <n v="2025"/>
    <x v="2"/>
    <n v="1.9272E-3"/>
    <s v="Low"/>
    <n v="9"/>
  </r>
  <r>
    <s v="ORD0027"/>
    <d v="2025-05-14T00:00:00"/>
    <s v="CUST015"/>
    <s v="Arjun Sharma"/>
    <x v="7"/>
    <x v="0"/>
    <s v="Accessories"/>
    <x v="3"/>
    <s v="Kolkata"/>
    <s v="West Bengal"/>
    <n v="2"/>
    <n v="720"/>
    <x v="3"/>
    <x v="26"/>
    <x v="3"/>
    <n v="2025"/>
    <x v="0"/>
    <n v="2.1923611111111102E-3"/>
    <s v="Low"/>
    <n v="5"/>
  </r>
  <r>
    <s v="ORD0028"/>
    <d v="2025-06-26T00:00:00"/>
    <s v="CUST077"/>
    <s v="Ananya Reddy"/>
    <x v="2"/>
    <x v="1"/>
    <s v="Chairs"/>
    <x v="1"/>
    <s v="Bengaluru"/>
    <s v="Karnataka"/>
    <n v="3"/>
    <n v="21675"/>
    <x v="5"/>
    <x v="27"/>
    <x v="2"/>
    <n v="2025"/>
    <x v="5"/>
    <n v="1.52063206459054E-3"/>
    <s v="Low"/>
    <n v="6"/>
  </r>
  <r>
    <s v="ORD0029"/>
    <d v="2025-05-11T00:00:00"/>
    <s v="CUST074"/>
    <s v="Pooja Kumar"/>
    <x v="11"/>
    <x v="0"/>
    <s v="Computers"/>
    <x v="1"/>
    <s v="Chennai"/>
    <s v="Tamil Nadu"/>
    <n v="1"/>
    <n v="10875"/>
    <x v="6"/>
    <x v="28"/>
    <x v="0"/>
    <n v="2025"/>
    <x v="0"/>
    <n v="8.4716321839080496E-4"/>
    <s v="Low"/>
    <n v="5"/>
  </r>
  <r>
    <s v="ORD0030"/>
    <d v="2025-08-09T00:00:00"/>
    <s v="CUST026"/>
    <s v="Kavya Patel"/>
    <x v="14"/>
    <x v="0"/>
    <s v="Audio"/>
    <x v="3"/>
    <s v="Kolkata"/>
    <s v="West Bengal"/>
    <n v="1"/>
    <n v="2400"/>
    <x v="6"/>
    <x v="29"/>
    <x v="3"/>
    <n v="2025"/>
    <x v="11"/>
    <n v="1.7520833333333301E-3"/>
    <s v="Low"/>
    <n v="8"/>
  </r>
  <r>
    <s v="ORD0031"/>
    <d v="2025-06-08T00:00:00"/>
    <s v="CUST039"/>
    <s v="Ananya Reddy"/>
    <x v="10"/>
    <x v="1"/>
    <s v="Storage"/>
    <x v="1"/>
    <s v="Hyderabad"/>
    <s v="Telangana"/>
    <n v="4"/>
    <n v="23400"/>
    <x v="4"/>
    <x v="30"/>
    <x v="1"/>
    <n v="2025"/>
    <x v="5"/>
    <n v="1.3308888888888899E-3"/>
    <s v="Low"/>
    <n v="6"/>
  </r>
  <r>
    <s v="ORD0032"/>
    <d v="2025-12-07T00:00:00"/>
    <s v="CUST025"/>
    <s v="Shreya Patel"/>
    <x v="2"/>
    <x v="1"/>
    <s v="Chairs"/>
    <x v="2"/>
    <s v="Ahmedabad"/>
    <s v="Gujarat"/>
    <n v="4"/>
    <n v="25500"/>
    <x v="6"/>
    <x v="31"/>
    <x v="0"/>
    <n v="2025"/>
    <x v="8"/>
    <n v="1.6875019607843101E-3"/>
    <s v="Low"/>
    <n v="12"/>
  </r>
  <r>
    <s v="ORD0033"/>
    <d v="2025-10-08T00:00:00"/>
    <s v="CUST039"/>
    <s v="Ananya Reddy"/>
    <x v="2"/>
    <x v="1"/>
    <s v="Chairs"/>
    <x v="1"/>
    <s v="Hyderabad"/>
    <s v="Telangana"/>
    <n v="1"/>
    <n v="7650"/>
    <x v="4"/>
    <x v="32"/>
    <x v="0"/>
    <n v="2025"/>
    <x v="6"/>
    <n v="1.0663529411764701E-3"/>
    <s v="Low"/>
    <n v="10"/>
  </r>
  <r>
    <s v="ORD0034"/>
    <d v="2025-06-14T00:00:00"/>
    <s v="CUST078"/>
    <s v="Kiran Nair"/>
    <x v="13"/>
    <x v="3"/>
    <s v="Office Supplies"/>
    <x v="1"/>
    <s v="Chennai"/>
    <s v="Tamil Nadu"/>
    <n v="4"/>
    <n v="850"/>
    <x v="5"/>
    <x v="33"/>
    <x v="2"/>
    <n v="2025"/>
    <x v="5"/>
    <n v="1.3042352941176501E-3"/>
    <s v="Low"/>
    <n v="6"/>
  </r>
  <r>
    <s v="ORD0035"/>
    <d v="2025-02-13T00:00:00"/>
    <s v="CUST022"/>
    <s v="Arjun Verma"/>
    <x v="13"/>
    <x v="3"/>
    <s v="Office Supplies"/>
    <x v="0"/>
    <s v="Delhi"/>
    <s v="Delhi"/>
    <n v="3"/>
    <n v="600"/>
    <x v="3"/>
    <x v="34"/>
    <x v="3"/>
    <n v="2025"/>
    <x v="10"/>
    <n v="1.418E-3"/>
    <s v="Low"/>
    <n v="2"/>
  </r>
  <r>
    <s v="ORD0036"/>
    <d v="2025-06-08T00:00:00"/>
    <s v="CUST031"/>
    <s v="Vikram Iyer"/>
    <x v="13"/>
    <x v="3"/>
    <s v="Office Supplies"/>
    <x v="0"/>
    <s v="Delhi"/>
    <s v="Delhi"/>
    <n v="2"/>
    <n v="350"/>
    <x v="1"/>
    <x v="35"/>
    <x v="1"/>
    <n v="2025"/>
    <x v="5"/>
    <n v="5.8E-4"/>
    <s v="Low"/>
    <n v="6"/>
  </r>
  <r>
    <s v="ORD0037"/>
    <d v="2025-02-07T00:00:00"/>
    <s v="CUST061"/>
    <s v="Isha Kumar"/>
    <x v="5"/>
    <x v="3"/>
    <s v="Office Supplies"/>
    <x v="2"/>
    <s v="Pune"/>
    <s v="Maharashtra"/>
    <n v="4"/>
    <n v="612"/>
    <x v="5"/>
    <x v="36"/>
    <x v="2"/>
    <n v="2025"/>
    <x v="10"/>
    <n v="2.05637254901961E-3"/>
    <s v="Low"/>
    <n v="2"/>
  </r>
  <r>
    <s v="ORD0038"/>
    <d v="2025-05-05T00:00:00"/>
    <s v="CUST064"/>
    <s v="Kavya Kumar"/>
    <x v="2"/>
    <x v="1"/>
    <s v="Chairs"/>
    <x v="1"/>
    <s v="Chennai"/>
    <s v="Tamil Nadu"/>
    <n v="2"/>
    <n v="12750"/>
    <x v="6"/>
    <x v="37"/>
    <x v="3"/>
    <n v="2025"/>
    <x v="0"/>
    <n v="1.11733333333333E-3"/>
    <s v="Low"/>
    <n v="5"/>
  </r>
  <r>
    <s v="ORD0039"/>
    <d v="2025-04-01T00:00:00"/>
    <s v="CUST055"/>
    <s v="Ananya Kumar"/>
    <x v="11"/>
    <x v="0"/>
    <s v="Computers"/>
    <x v="0"/>
    <s v="Jaipur"/>
    <s v="Rajasthan"/>
    <n v="5"/>
    <n v="61625"/>
    <x v="5"/>
    <x v="38"/>
    <x v="3"/>
    <n v="2025"/>
    <x v="4"/>
    <n v="5.06987423935091E-4"/>
    <s v="High"/>
    <n v="4"/>
  </r>
  <r>
    <s v="ORD0040"/>
    <d v="2025-08-26T00:00:00"/>
    <s v="CUST059"/>
    <s v="Sneha Singh"/>
    <x v="0"/>
    <x v="0"/>
    <s v="Accessories"/>
    <x v="2"/>
    <s v="Ahmedabad"/>
    <s v="Gujarat"/>
    <n v="5"/>
    <n v="7200"/>
    <x v="3"/>
    <x v="39"/>
    <x v="2"/>
    <n v="2025"/>
    <x v="11"/>
    <n v="1.11588888888889E-3"/>
    <s v="Low"/>
    <n v="8"/>
  </r>
  <r>
    <s v="ORD0041"/>
    <d v="2025-09-16T00:00:00"/>
    <s v="CUST079"/>
    <s v="Kavya Kumar"/>
    <x v="12"/>
    <x v="0"/>
    <s v="Office Equipment"/>
    <x v="2"/>
    <s v="Mumbai"/>
    <s v="Maharashtra"/>
    <n v="4"/>
    <n v="32200"/>
    <x v="1"/>
    <x v="40"/>
    <x v="1"/>
    <n v="2025"/>
    <x v="2"/>
    <n v="1.6792732919254699E-3"/>
    <s v="High"/>
    <n v="9"/>
  </r>
  <r>
    <s v="ORD0042"/>
    <d v="2025-05-13T00:00:00"/>
    <s v="CUST061"/>
    <s v="Isha Kumar"/>
    <x v="6"/>
    <x v="1"/>
    <s v="Tables"/>
    <x v="2"/>
    <s v="Pune"/>
    <s v="Maharashtra"/>
    <n v="2"/>
    <n v="16800"/>
    <x v="1"/>
    <x v="41"/>
    <x v="0"/>
    <n v="2025"/>
    <x v="0"/>
    <n v="9.0096428571428597E-4"/>
    <s v="Low"/>
    <n v="5"/>
  </r>
  <r>
    <s v="ORD0043"/>
    <d v="2025-05-03T00:00:00"/>
    <s v="CUST063"/>
    <s v="Varun Verma"/>
    <x v="13"/>
    <x v="3"/>
    <s v="Office Supplies"/>
    <x v="1"/>
    <s v="Chennai"/>
    <s v="Tamil Nadu"/>
    <n v="3"/>
    <n v="637.5"/>
    <x v="5"/>
    <x v="42"/>
    <x v="4"/>
    <n v="2025"/>
    <x v="0"/>
    <n v="5.4776470588235296E-4"/>
    <s v="Low"/>
    <n v="5"/>
  </r>
  <r>
    <s v="ORD0044"/>
    <d v="2025-10-04T00:00:00"/>
    <s v="CUST043"/>
    <s v="Arjun Gupta"/>
    <x v="14"/>
    <x v="0"/>
    <s v="Audio"/>
    <x v="1"/>
    <s v="Bengaluru"/>
    <s v="Karnataka"/>
    <n v="1"/>
    <n v="3040"/>
    <x v="0"/>
    <x v="43"/>
    <x v="1"/>
    <n v="2025"/>
    <x v="6"/>
    <n v="9.5378289473684204E-4"/>
    <s v="Low"/>
    <n v="10"/>
  </r>
  <r>
    <s v="ORD0045"/>
    <d v="2025-08-01T00:00:00"/>
    <s v="CUST028"/>
    <s v="Kavya Nair"/>
    <x v="4"/>
    <x v="0"/>
    <s v="Accessories"/>
    <x v="1"/>
    <s v="Bengaluru"/>
    <s v="Karnataka"/>
    <n v="4"/>
    <n v="4320"/>
    <x v="4"/>
    <x v="44"/>
    <x v="1"/>
    <n v="2025"/>
    <x v="11"/>
    <n v="1.58127314814815E-3"/>
    <s v="Low"/>
    <n v="8"/>
  </r>
  <r>
    <s v="ORD0046"/>
    <d v="2025-10-27T00:00:00"/>
    <s v="CUST054"/>
    <s v="Meera Singh"/>
    <x v="2"/>
    <x v="1"/>
    <s v="Chairs"/>
    <x v="2"/>
    <s v="Mumbai"/>
    <s v="Maharashtra"/>
    <n v="1"/>
    <n v="5950"/>
    <x v="1"/>
    <x v="45"/>
    <x v="2"/>
    <n v="2025"/>
    <x v="6"/>
    <n v="1.5295462184873999E-3"/>
    <s v="Low"/>
    <n v="10"/>
  </r>
  <r>
    <s v="ORD0047"/>
    <d v="2025-06-02T00:00:00"/>
    <s v="CUST001"/>
    <s v="Priya Sharma"/>
    <x v="14"/>
    <x v="0"/>
    <s v="Audio"/>
    <x v="2"/>
    <s v="Pune"/>
    <s v="Maharashtra"/>
    <n v="4"/>
    <n v="8960"/>
    <x v="1"/>
    <x v="46"/>
    <x v="0"/>
    <n v="2025"/>
    <x v="5"/>
    <n v="1.3564843750000001E-3"/>
    <s v="Low"/>
    <n v="6"/>
  </r>
  <r>
    <s v="ORD0048"/>
    <d v="2025-11-05T00:00:00"/>
    <s v="CUST070"/>
    <s v="Varun Kumar"/>
    <x v="9"/>
    <x v="2"/>
    <s v="Travel"/>
    <x v="2"/>
    <s v="Pune"/>
    <s v="Maharashtra"/>
    <n v="2"/>
    <n v="1190"/>
    <x v="5"/>
    <x v="47"/>
    <x v="3"/>
    <n v="2025"/>
    <x v="1"/>
    <n v="7.7537815126050397E-4"/>
    <s v="Low"/>
    <n v="11"/>
  </r>
  <r>
    <s v="ORD0049"/>
    <d v="2025-12-09T00:00:00"/>
    <s v="CUST050"/>
    <s v="Vikram Patel"/>
    <x v="14"/>
    <x v="0"/>
    <s v="Audio"/>
    <x v="0"/>
    <s v="Delhi"/>
    <s v="Delhi"/>
    <n v="4"/>
    <n v="9600"/>
    <x v="6"/>
    <x v="48"/>
    <x v="1"/>
    <n v="2025"/>
    <x v="8"/>
    <n v="3.3796875E-4"/>
    <s v="Low"/>
    <n v="12"/>
  </r>
  <r>
    <s v="ORD0050"/>
    <d v="2025-01-14T00:00:00"/>
    <s v="CUST080"/>
    <s v="Isha Verma"/>
    <x v="10"/>
    <x v="1"/>
    <s v="Storage"/>
    <x v="1"/>
    <s v="Hyderabad"/>
    <s v="Telangana"/>
    <n v="4"/>
    <n v="20800"/>
    <x v="3"/>
    <x v="49"/>
    <x v="2"/>
    <n v="2025"/>
    <x v="9"/>
    <n v="1.51523076923077E-3"/>
    <s v="Low"/>
    <n v="1"/>
  </r>
  <r>
    <s v="ORD0051"/>
    <d v="2025-08-25T00:00:00"/>
    <s v="CUST018"/>
    <s v="Shreya Nair"/>
    <x v="12"/>
    <x v="0"/>
    <s v="Office Equipment"/>
    <x v="0"/>
    <s v="Jaipur"/>
    <s v="Rajasthan"/>
    <n v="2"/>
    <n v="23000"/>
    <x v="2"/>
    <x v="50"/>
    <x v="2"/>
    <n v="2025"/>
    <x v="11"/>
    <n v="1.3203130434782601E-3"/>
    <s v="Low"/>
    <n v="8"/>
  </r>
  <r>
    <s v="ORD0052"/>
    <d v="2025-07-14T00:00:00"/>
    <s v="CUST042"/>
    <s v="Shreya Verma"/>
    <x v="14"/>
    <x v="0"/>
    <s v="Audio"/>
    <x v="2"/>
    <s v="Ahmedabad"/>
    <s v="Gujarat"/>
    <n v="3"/>
    <n v="6720"/>
    <x v="1"/>
    <x v="51"/>
    <x v="3"/>
    <n v="2025"/>
    <x v="3"/>
    <n v="1.78623511904762E-3"/>
    <s v="Low"/>
    <n v="7"/>
  </r>
  <r>
    <s v="ORD0053"/>
    <d v="2025-10-04T00:00:00"/>
    <s v="CUST061"/>
    <s v="Isha Kumar"/>
    <x v="1"/>
    <x v="0"/>
    <s v="Computers"/>
    <x v="2"/>
    <s v="Pune"/>
    <s v="Maharashtra"/>
    <n v="1"/>
    <n v="49500"/>
    <x v="4"/>
    <x v="52"/>
    <x v="3"/>
    <n v="2025"/>
    <x v="6"/>
    <n v="1.03128888888889E-3"/>
    <s v="High"/>
    <n v="10"/>
  </r>
  <r>
    <s v="ORD0054"/>
    <d v="2025-04-13T00:00:00"/>
    <s v="CUST004"/>
    <s v="Akash Rao"/>
    <x v="11"/>
    <x v="0"/>
    <s v="Computers"/>
    <x v="1"/>
    <s v="Bengaluru"/>
    <s v="Karnataka"/>
    <n v="1"/>
    <n v="11600"/>
    <x v="3"/>
    <x v="53"/>
    <x v="3"/>
    <n v="2025"/>
    <x v="4"/>
    <n v="6.4165517241379297E-4"/>
    <s v="Low"/>
    <n v="4"/>
  </r>
  <r>
    <s v="ORD0055"/>
    <d v="2025-08-27T00:00:00"/>
    <s v="CUST073"/>
    <s v="Divya Kumar"/>
    <x v="11"/>
    <x v="0"/>
    <s v="Computers"/>
    <x v="3"/>
    <s v="Kolkata"/>
    <s v="West Bengal"/>
    <n v="3"/>
    <n v="30450"/>
    <x v="1"/>
    <x v="54"/>
    <x v="3"/>
    <n v="2025"/>
    <x v="11"/>
    <n v="4.8336945812807902E-4"/>
    <s v="High"/>
    <n v="8"/>
  </r>
  <r>
    <s v="ORD0056"/>
    <d v="2025-02-25T00:00:00"/>
    <s v="CUST021"/>
    <s v="Kavya Reddy"/>
    <x v="8"/>
    <x v="0"/>
    <s v="Phones"/>
    <x v="0"/>
    <s v="Gurugram"/>
    <s v="Haryana"/>
    <n v="5"/>
    <n v="140000"/>
    <x v="2"/>
    <x v="55"/>
    <x v="2"/>
    <n v="2025"/>
    <x v="10"/>
    <n v="2.6577742857142898E-3"/>
    <s v="High"/>
    <n v="2"/>
  </r>
  <r>
    <s v="ORD0057"/>
    <d v="2025-04-12T00:00:00"/>
    <s v="CUST051"/>
    <s v="Sneha Gupta"/>
    <x v="3"/>
    <x v="2"/>
    <s v="Travel"/>
    <x v="2"/>
    <s v="Ahmedabad"/>
    <s v="Gujarat"/>
    <n v="1"/>
    <n v="1280"/>
    <x v="3"/>
    <x v="56"/>
    <x v="3"/>
    <n v="2025"/>
    <x v="4"/>
    <n v="1.4675781249999999E-3"/>
    <s v="Low"/>
    <n v="4"/>
  </r>
  <r>
    <s v="ORD0058"/>
    <d v="2025-12-17T00:00:00"/>
    <s v="CUST039"/>
    <s v="Ananya Reddy"/>
    <x v="12"/>
    <x v="0"/>
    <s v="Office Equipment"/>
    <x v="1"/>
    <s v="Hyderabad"/>
    <s v="Telangana"/>
    <n v="5"/>
    <n v="40250"/>
    <x v="1"/>
    <x v="57"/>
    <x v="3"/>
    <n v="2025"/>
    <x v="8"/>
    <n v="-2.95773913043478E-4"/>
    <s v="High"/>
    <n v="12"/>
  </r>
  <r>
    <s v="ORD0059"/>
    <d v="2025-08-08T00:00:00"/>
    <s v="CUST045"/>
    <s v="Aditya Reddy"/>
    <x v="10"/>
    <x v="1"/>
    <s v="Storage"/>
    <x v="2"/>
    <s v="Pune"/>
    <s v="Maharashtra"/>
    <n v="3"/>
    <n v="19500"/>
    <x v="2"/>
    <x v="58"/>
    <x v="2"/>
    <n v="2025"/>
    <x v="11"/>
    <n v="1.8119230769230801E-3"/>
    <s v="Low"/>
    <n v="8"/>
  </r>
  <r>
    <s v="ORD0060"/>
    <d v="2025-08-10T00:00:00"/>
    <s v="CUST063"/>
    <s v="Varun Verma"/>
    <x v="4"/>
    <x v="0"/>
    <s v="Accessories"/>
    <x v="1"/>
    <s v="Chennai"/>
    <s v="Tamil Nadu"/>
    <n v="3"/>
    <n v="2700"/>
    <x v="6"/>
    <x v="59"/>
    <x v="1"/>
    <n v="2025"/>
    <x v="11"/>
    <n v="1.79581481481481E-3"/>
    <s v="Low"/>
    <n v="8"/>
  </r>
  <r>
    <s v="ORD0061"/>
    <d v="2025-09-25T00:00:00"/>
    <s v="CUST056"/>
    <s v="Rahul Reddy"/>
    <x v="0"/>
    <x v="0"/>
    <s v="Accessories"/>
    <x v="3"/>
    <s v="Kolkata"/>
    <s v="West Bengal"/>
    <n v="3"/>
    <n v="4320"/>
    <x v="3"/>
    <x v="60"/>
    <x v="2"/>
    <n v="2025"/>
    <x v="2"/>
    <n v="1.7473148148148101E-3"/>
    <s v="Low"/>
    <n v="9"/>
  </r>
  <r>
    <s v="ORD0062"/>
    <d v="2025-10-31T00:00:00"/>
    <s v="CUST060"/>
    <s v="Shreya Rao"/>
    <x v="2"/>
    <x v="1"/>
    <s v="Chairs"/>
    <x v="2"/>
    <s v="Mumbai"/>
    <s v="Maharashtra"/>
    <n v="3"/>
    <n v="22950"/>
    <x v="4"/>
    <x v="61"/>
    <x v="3"/>
    <n v="2025"/>
    <x v="6"/>
    <n v="2.0957429193899802E-3"/>
    <s v="Low"/>
    <n v="10"/>
  </r>
  <r>
    <s v="ORD0063"/>
    <d v="2025-08-19T00:00:00"/>
    <s v="CUST036"/>
    <s v="Pooja Iyer"/>
    <x v="7"/>
    <x v="0"/>
    <s v="Accessories"/>
    <x v="0"/>
    <s v="Gurugram"/>
    <s v="Haryana"/>
    <n v="2"/>
    <n v="630"/>
    <x v="1"/>
    <x v="62"/>
    <x v="2"/>
    <n v="2025"/>
    <x v="11"/>
    <n v="6.7174603174603199E-4"/>
    <s v="Low"/>
    <n v="8"/>
  </r>
  <r>
    <s v="ORD0064"/>
    <d v="2025-09-11T00:00:00"/>
    <s v="CUST044"/>
    <s v="Priya Gupta"/>
    <x v="1"/>
    <x v="0"/>
    <s v="Computers"/>
    <x v="2"/>
    <s v="Pune"/>
    <s v="Maharashtra"/>
    <n v="3"/>
    <n v="156750"/>
    <x v="0"/>
    <x v="63"/>
    <x v="4"/>
    <n v="2025"/>
    <x v="2"/>
    <n v="1.63074704944179E-3"/>
    <s v="High"/>
    <n v="9"/>
  </r>
  <r>
    <s v="ORD0065"/>
    <d v="2025-11-02T00:00:00"/>
    <s v="CUST044"/>
    <s v="Priya Gupta"/>
    <x v="8"/>
    <x v="0"/>
    <s v="Phones"/>
    <x v="2"/>
    <s v="Pune"/>
    <s v="Maharashtra"/>
    <n v="3"/>
    <n v="67200"/>
    <x v="3"/>
    <x v="64"/>
    <x v="3"/>
    <n v="2025"/>
    <x v="1"/>
    <n v="-5.3729166666666701E-5"/>
    <s v="High"/>
    <n v="11"/>
  </r>
  <r>
    <s v="ORD0066"/>
    <d v="2025-07-28T00:00:00"/>
    <s v="CUST031"/>
    <s v="Vikram Iyer"/>
    <x v="3"/>
    <x v="2"/>
    <s v="Travel"/>
    <x v="0"/>
    <s v="Delhi"/>
    <s v="Delhi"/>
    <n v="4"/>
    <n v="5120"/>
    <x v="3"/>
    <x v="65"/>
    <x v="2"/>
    <n v="2025"/>
    <x v="3"/>
    <n v="1.5710156249999999E-3"/>
    <s v="Low"/>
    <n v="7"/>
  </r>
  <r>
    <s v="ORD0067"/>
    <d v="2025-01-09T00:00:00"/>
    <s v="CUST058"/>
    <s v="Rohan Verma"/>
    <x v="9"/>
    <x v="2"/>
    <s v="Travel"/>
    <x v="2"/>
    <s v="Ahmedabad"/>
    <s v="Gujarat"/>
    <n v="1"/>
    <n v="630"/>
    <x v="4"/>
    <x v="66"/>
    <x v="4"/>
    <n v="2025"/>
    <x v="9"/>
    <n v="8.7031746031746005E-4"/>
    <s v="Low"/>
    <n v="1"/>
  </r>
  <r>
    <s v="ORD0068"/>
    <d v="2025-08-31T00:00:00"/>
    <s v="CUST075"/>
    <s v="Priya Rao"/>
    <x v="14"/>
    <x v="0"/>
    <s v="Audio"/>
    <x v="0"/>
    <s v="Delhi"/>
    <s v="Delhi"/>
    <n v="5"/>
    <n v="12800"/>
    <x v="3"/>
    <x v="67"/>
    <x v="0"/>
    <n v="2025"/>
    <x v="11"/>
    <n v="5.8919531249999998E-4"/>
    <s v="Low"/>
    <n v="8"/>
  </r>
  <r>
    <s v="ORD0069"/>
    <d v="2025-12-26T00:00:00"/>
    <s v="CUST043"/>
    <s v="Arjun Gupta"/>
    <x v="14"/>
    <x v="0"/>
    <s v="Audio"/>
    <x v="1"/>
    <s v="Bengaluru"/>
    <s v="Karnataka"/>
    <n v="4"/>
    <n v="11520"/>
    <x v="4"/>
    <x v="68"/>
    <x v="1"/>
    <n v="2025"/>
    <x v="8"/>
    <n v="1.15560763888889E-3"/>
    <s v="Low"/>
    <n v="12"/>
  </r>
  <r>
    <s v="ORD0070"/>
    <d v="2025-10-02T00:00:00"/>
    <s v="CUST041"/>
    <s v="Rahul Rao"/>
    <x v="4"/>
    <x v="0"/>
    <s v="Accessories"/>
    <x v="0"/>
    <s v="Gurugram"/>
    <s v="Haryana"/>
    <n v="2"/>
    <n v="2280"/>
    <x v="0"/>
    <x v="69"/>
    <x v="0"/>
    <n v="2025"/>
    <x v="6"/>
    <n v="1.0722368421052599E-3"/>
    <s v="Low"/>
    <n v="10"/>
  </r>
  <r>
    <s v="ORD0071"/>
    <d v="2025-05-25T00:00:00"/>
    <s v="CUST068"/>
    <s v="Ananya Kumar"/>
    <x v="5"/>
    <x v="3"/>
    <s v="Office Supplies"/>
    <x v="1"/>
    <s v="Chennai"/>
    <s v="Tamil Nadu"/>
    <n v="1"/>
    <n v="126"/>
    <x v="1"/>
    <x v="70"/>
    <x v="1"/>
    <n v="2025"/>
    <x v="0"/>
    <n v="4.1746031746031702E-4"/>
    <s v="Low"/>
    <n v="5"/>
  </r>
  <r>
    <s v="ORD0072"/>
    <d v="2025-12-29T00:00:00"/>
    <s v="CUST039"/>
    <s v="Ananya Reddy"/>
    <x v="1"/>
    <x v="0"/>
    <s v="Computers"/>
    <x v="1"/>
    <s v="Hyderabad"/>
    <s v="Telangana"/>
    <n v="5"/>
    <n v="261250"/>
    <x v="0"/>
    <x v="71"/>
    <x v="0"/>
    <n v="2025"/>
    <x v="8"/>
    <n v="1.12683559808612E-3"/>
    <s v="High"/>
    <n v="12"/>
  </r>
  <r>
    <s v="ORD0073"/>
    <d v="2025-03-06T00:00:00"/>
    <s v="CUST038"/>
    <s v="Varun Verma"/>
    <x v="3"/>
    <x v="2"/>
    <s v="Travel"/>
    <x v="1"/>
    <s v="Chennai"/>
    <s v="Tamil Nadu"/>
    <n v="4"/>
    <n v="6400"/>
    <x v="2"/>
    <x v="72"/>
    <x v="2"/>
    <n v="2025"/>
    <x v="7"/>
    <n v="2.5454375E-3"/>
    <s v="Low"/>
    <n v="3"/>
  </r>
  <r>
    <s v="ORD0074"/>
    <d v="2025-06-24T00:00:00"/>
    <s v="CUST062"/>
    <s v="Kiran Nair"/>
    <x v="6"/>
    <x v="1"/>
    <s v="Tables"/>
    <x v="3"/>
    <s v="Kolkata"/>
    <s v="West Bengal"/>
    <n v="2"/>
    <n v="24000"/>
    <x v="2"/>
    <x v="73"/>
    <x v="3"/>
    <n v="2025"/>
    <x v="5"/>
    <n v="1.3049583333333301E-3"/>
    <s v="Low"/>
    <n v="6"/>
  </r>
  <r>
    <s v="ORD0075"/>
    <d v="2025-09-09T00:00:00"/>
    <s v="CUST009"/>
    <s v="Nikhil Iyer"/>
    <x v="2"/>
    <x v="1"/>
    <s v="Chairs"/>
    <x v="2"/>
    <s v="Pune"/>
    <s v="Maharashtra"/>
    <n v="1"/>
    <n v="6800"/>
    <x v="3"/>
    <x v="74"/>
    <x v="1"/>
    <n v="2025"/>
    <x v="2"/>
    <n v="1.63208823529412E-3"/>
    <s v="Low"/>
    <n v="9"/>
  </r>
  <r>
    <s v="ORD0076"/>
    <d v="2025-02-13T00:00:00"/>
    <s v="CUST073"/>
    <s v="Divya Kumar"/>
    <x v="8"/>
    <x v="0"/>
    <s v="Phones"/>
    <x v="3"/>
    <s v="Kolkata"/>
    <s v="West Bengal"/>
    <n v="2"/>
    <n v="56000"/>
    <x v="2"/>
    <x v="75"/>
    <x v="0"/>
    <n v="2025"/>
    <x v="10"/>
    <n v="1.9161464285714299E-3"/>
    <s v="High"/>
    <n v="2"/>
  </r>
  <r>
    <s v="ORD0077"/>
    <d v="2025-09-25T00:00:00"/>
    <s v="CUST080"/>
    <s v="Isha Verma"/>
    <x v="11"/>
    <x v="0"/>
    <s v="Computers"/>
    <x v="1"/>
    <s v="Hyderabad"/>
    <s v="Telangana"/>
    <n v="4"/>
    <n v="49300"/>
    <x v="5"/>
    <x v="76"/>
    <x v="0"/>
    <n v="2025"/>
    <x v="2"/>
    <n v="2.2055010141987801E-3"/>
    <s v="High"/>
    <n v="9"/>
  </r>
  <r>
    <s v="ORD0078"/>
    <d v="2025-10-19T00:00:00"/>
    <s v="CUST055"/>
    <s v="Ananya Kumar"/>
    <x v="8"/>
    <x v="0"/>
    <s v="Phones"/>
    <x v="0"/>
    <s v="Jaipur"/>
    <s v="Rajasthan"/>
    <n v="5"/>
    <n v="140000"/>
    <x v="2"/>
    <x v="77"/>
    <x v="1"/>
    <n v="2025"/>
    <x v="6"/>
    <n v="2.0192621428571401E-3"/>
    <s v="High"/>
    <n v="10"/>
  </r>
  <r>
    <s v="ORD0079"/>
    <d v="2025-12-05T00:00:00"/>
    <s v="CUST028"/>
    <s v="Kavya Nair"/>
    <x v="8"/>
    <x v="0"/>
    <s v="Phones"/>
    <x v="1"/>
    <s v="Bengaluru"/>
    <s v="Karnataka"/>
    <n v="1"/>
    <n v="26600"/>
    <x v="0"/>
    <x v="78"/>
    <x v="1"/>
    <n v="2025"/>
    <x v="8"/>
    <n v="1.1107330827067701E-3"/>
    <s v="Low"/>
    <n v="12"/>
  </r>
  <r>
    <s v="ORD0080"/>
    <d v="2025-08-19T00:00:00"/>
    <s v="CUST001"/>
    <s v="Priya Sharma"/>
    <x v="2"/>
    <x v="1"/>
    <s v="Chairs"/>
    <x v="2"/>
    <s v="Pune"/>
    <s v="Maharashtra"/>
    <n v="5"/>
    <n v="36125"/>
    <x v="5"/>
    <x v="79"/>
    <x v="4"/>
    <n v="2025"/>
    <x v="11"/>
    <n v="9.9571487889273396E-4"/>
    <s v="High"/>
    <n v="8"/>
  </r>
  <r>
    <s v="ORD0081"/>
    <d v="2025-12-18T00:00:00"/>
    <s v="CUST059"/>
    <s v="Sneha Singh"/>
    <x v="4"/>
    <x v="0"/>
    <s v="Accessories"/>
    <x v="2"/>
    <s v="Ahmedabad"/>
    <s v="Gujarat"/>
    <n v="2"/>
    <n v="2160"/>
    <x v="4"/>
    <x v="80"/>
    <x v="1"/>
    <n v="2025"/>
    <x v="8"/>
    <n v="2.0193981481481499E-3"/>
    <s v="Low"/>
    <n v="12"/>
  </r>
  <r>
    <s v="ORD0082"/>
    <d v="2025-10-06T00:00:00"/>
    <s v="CUST055"/>
    <s v="Ananya Kumar"/>
    <x v="4"/>
    <x v="0"/>
    <s v="Accessories"/>
    <x v="0"/>
    <s v="Jaipur"/>
    <s v="Rajasthan"/>
    <n v="2"/>
    <n v="1800"/>
    <x v="6"/>
    <x v="81"/>
    <x v="1"/>
    <n v="2025"/>
    <x v="6"/>
    <n v="4.31944444444444E-4"/>
    <s v="Low"/>
    <n v="10"/>
  </r>
  <r>
    <s v="ORD0083"/>
    <d v="2025-03-26T00:00:00"/>
    <s v="CUST010"/>
    <s v="Aarav Patel"/>
    <x v="1"/>
    <x v="0"/>
    <s v="Computers"/>
    <x v="0"/>
    <s v="Gurugram"/>
    <s v="Haryana"/>
    <n v="3"/>
    <n v="132000"/>
    <x v="3"/>
    <x v="82"/>
    <x v="4"/>
    <n v="2025"/>
    <x v="7"/>
    <n v="1.61331212121212E-3"/>
    <s v="High"/>
    <n v="3"/>
  </r>
  <r>
    <s v="ORD0084"/>
    <d v="2025-08-28T00:00:00"/>
    <s v="CUST057"/>
    <s v="Rahul Gupta"/>
    <x v="4"/>
    <x v="0"/>
    <s v="Accessories"/>
    <x v="1"/>
    <s v="Hyderabad"/>
    <s v="Telangana"/>
    <n v="3"/>
    <n v="2700"/>
    <x v="6"/>
    <x v="83"/>
    <x v="0"/>
    <n v="2025"/>
    <x v="11"/>
    <n v="9.3485185185185197E-4"/>
    <s v="Low"/>
    <n v="8"/>
  </r>
  <r>
    <s v="ORD0085"/>
    <d v="2025-02-11T00:00:00"/>
    <s v="CUST064"/>
    <s v="Kavya Kumar"/>
    <x v="6"/>
    <x v="1"/>
    <s v="Tables"/>
    <x v="1"/>
    <s v="Chennai"/>
    <s v="Tamil Nadu"/>
    <n v="5"/>
    <n v="60000"/>
    <x v="2"/>
    <x v="84"/>
    <x v="0"/>
    <n v="2025"/>
    <x v="10"/>
    <n v="2.5788450000000002E-3"/>
    <s v="High"/>
    <n v="2"/>
  </r>
  <r>
    <s v="ORD0086"/>
    <d v="2025-02-16T00:00:00"/>
    <s v="CUST033"/>
    <s v="Nikhil Patel"/>
    <x v="1"/>
    <x v="0"/>
    <s v="Computers"/>
    <x v="2"/>
    <s v="Pune"/>
    <s v="Maharashtra"/>
    <n v="2"/>
    <n v="82500"/>
    <x v="6"/>
    <x v="85"/>
    <x v="3"/>
    <n v="2025"/>
    <x v="10"/>
    <n v="1.6124181818181801E-3"/>
    <s v="High"/>
    <n v="2"/>
  </r>
  <r>
    <s v="ORD0087"/>
    <d v="2025-01-21T00:00:00"/>
    <s v="CUST035"/>
    <s v="Isha Singh"/>
    <x v="5"/>
    <x v="3"/>
    <s v="Office Supplies"/>
    <x v="0"/>
    <s v="Jaipur"/>
    <s v="Rajasthan"/>
    <n v="2"/>
    <n v="306"/>
    <x v="5"/>
    <x v="86"/>
    <x v="4"/>
    <n v="2025"/>
    <x v="9"/>
    <n v="1.37222222222222E-3"/>
    <s v="Low"/>
    <n v="1"/>
  </r>
  <r>
    <s v="ORD0088"/>
    <d v="2025-08-12T00:00:00"/>
    <s v="CUST024"/>
    <s v="Vikram Singh"/>
    <x v="5"/>
    <x v="3"/>
    <s v="Office Supplies"/>
    <x v="1"/>
    <s v="Chennai"/>
    <s v="Tamil Nadu"/>
    <n v="4"/>
    <n v="720"/>
    <x v="2"/>
    <x v="87"/>
    <x v="4"/>
    <n v="2025"/>
    <x v="11"/>
    <n v="1.74E-3"/>
    <s v="Low"/>
    <n v="8"/>
  </r>
  <r>
    <s v="ORD0089"/>
    <d v="2025-03-24T00:00:00"/>
    <s v="CUST014"/>
    <s v="Meera Nair"/>
    <x v="12"/>
    <x v="0"/>
    <s v="Office Equipment"/>
    <x v="0"/>
    <s v="Jaipur"/>
    <s v="Rajasthan"/>
    <n v="3"/>
    <n v="29325"/>
    <x v="5"/>
    <x v="88"/>
    <x v="2"/>
    <n v="2025"/>
    <x v="7"/>
    <n v="1.7792668371696501E-3"/>
    <s v="Low"/>
    <n v="3"/>
  </r>
  <r>
    <s v="ORD0090"/>
    <d v="2025-08-21T00:00:00"/>
    <s v="CUST071"/>
    <s v="Divya Kumar"/>
    <x v="1"/>
    <x v="0"/>
    <s v="Computers"/>
    <x v="2"/>
    <s v="Ahmedabad"/>
    <s v="Gujarat"/>
    <n v="1"/>
    <n v="49500"/>
    <x v="4"/>
    <x v="89"/>
    <x v="2"/>
    <n v="2025"/>
    <x v="11"/>
    <n v="1.07581818181818E-3"/>
    <s v="High"/>
    <n v="8"/>
  </r>
  <r>
    <s v="ORD0091"/>
    <d v="2025-01-01T00:00:00"/>
    <s v="CUST066"/>
    <s v="Isha Kumar"/>
    <x v="12"/>
    <x v="0"/>
    <s v="Office Equipment"/>
    <x v="0"/>
    <s v="Jaipur"/>
    <s v="Rajasthan"/>
    <n v="5"/>
    <n v="48875"/>
    <x v="5"/>
    <x v="90"/>
    <x v="4"/>
    <n v="2025"/>
    <x v="9"/>
    <n v="1.2561514066496201E-3"/>
    <s v="High"/>
    <n v="1"/>
  </r>
  <r>
    <s v="ORD0092"/>
    <d v="2025-09-13T00:00:00"/>
    <s v="CUST080"/>
    <s v="Isha Verma"/>
    <x v="9"/>
    <x v="2"/>
    <s v="Travel"/>
    <x v="1"/>
    <s v="Hyderabad"/>
    <s v="Telangana"/>
    <n v="4"/>
    <n v="1960"/>
    <x v="1"/>
    <x v="91"/>
    <x v="1"/>
    <n v="2025"/>
    <x v="2"/>
    <n v="1.02908163265306E-4"/>
    <s v="Low"/>
    <n v="9"/>
  </r>
  <r>
    <s v="ORD0093"/>
    <d v="2025-12-24T00:00:00"/>
    <s v="CUST037"/>
    <s v="Meera Kumar"/>
    <x v="6"/>
    <x v="1"/>
    <s v="Tables"/>
    <x v="1"/>
    <s v="Hyderabad"/>
    <s v="Telangana"/>
    <n v="4"/>
    <n v="48000"/>
    <x v="2"/>
    <x v="92"/>
    <x v="1"/>
    <n v="2025"/>
    <x v="8"/>
    <n v="8.5773958333333297E-4"/>
    <s v="High"/>
    <n v="12"/>
  </r>
  <r>
    <s v="ORD0094"/>
    <d v="2025-10-10T00:00:00"/>
    <s v="CUST021"/>
    <s v="Kavya Reddy"/>
    <x v="8"/>
    <x v="0"/>
    <s v="Phones"/>
    <x v="0"/>
    <s v="Gurugram"/>
    <s v="Haryana"/>
    <n v="1"/>
    <n v="22400"/>
    <x v="3"/>
    <x v="93"/>
    <x v="3"/>
    <n v="2025"/>
    <x v="6"/>
    <n v="1.10362946428571E-3"/>
    <s v="Low"/>
    <n v="10"/>
  </r>
  <r>
    <s v="ORD0095"/>
    <d v="2025-11-28T00:00:00"/>
    <s v="CUST060"/>
    <s v="Shreya Rao"/>
    <x v="4"/>
    <x v="0"/>
    <s v="Accessories"/>
    <x v="2"/>
    <s v="Mumbai"/>
    <s v="Maharashtra"/>
    <n v="2"/>
    <n v="2040"/>
    <x v="5"/>
    <x v="94"/>
    <x v="4"/>
    <n v="2025"/>
    <x v="1"/>
    <n v="2.25588235294118E-3"/>
    <s v="Low"/>
    <n v="11"/>
  </r>
  <r>
    <s v="ORD0096"/>
    <d v="2025-09-05T00:00:00"/>
    <s v="CUST054"/>
    <s v="Meera Singh"/>
    <x v="12"/>
    <x v="0"/>
    <s v="Office Equipment"/>
    <x v="2"/>
    <s v="Mumbai"/>
    <s v="Maharashtra"/>
    <n v="4"/>
    <n v="43700"/>
    <x v="0"/>
    <x v="95"/>
    <x v="1"/>
    <n v="2025"/>
    <x v="2"/>
    <n v="1.59549199084668E-3"/>
    <s v="High"/>
    <n v="9"/>
  </r>
  <r>
    <s v="ORD0097"/>
    <d v="2025-03-11T00:00:00"/>
    <s v="CUST077"/>
    <s v="Ananya Reddy"/>
    <x v="10"/>
    <x v="1"/>
    <s v="Storage"/>
    <x v="1"/>
    <s v="Bengaluru"/>
    <s v="Karnataka"/>
    <n v="1"/>
    <n v="5850"/>
    <x v="4"/>
    <x v="96"/>
    <x v="4"/>
    <n v="2025"/>
    <x v="7"/>
    <n v="1.93174358974359E-3"/>
    <s v="Low"/>
    <n v="3"/>
  </r>
  <r>
    <s v="ORD0098"/>
    <d v="2025-01-02T00:00:00"/>
    <s v="CUST065"/>
    <s v="Aditya Sharma"/>
    <x v="8"/>
    <x v="0"/>
    <s v="Phones"/>
    <x v="0"/>
    <s v="Jaipur"/>
    <s v="Rajasthan"/>
    <n v="3"/>
    <n v="63000"/>
    <x v="6"/>
    <x v="97"/>
    <x v="2"/>
    <n v="2025"/>
    <x v="9"/>
    <n v="5.3027619047619004E-4"/>
    <s v="High"/>
    <n v="1"/>
  </r>
  <r>
    <s v="ORD0099"/>
    <d v="2025-10-03T00:00:00"/>
    <s v="CUST020"/>
    <s v="Kavya Singh"/>
    <x v="6"/>
    <x v="1"/>
    <s v="Tables"/>
    <x v="1"/>
    <s v="Chennai"/>
    <s v="Tamil Nadu"/>
    <n v="4"/>
    <n v="43200"/>
    <x v="4"/>
    <x v="98"/>
    <x v="2"/>
    <n v="2025"/>
    <x v="6"/>
    <n v="1.0741620370370399E-3"/>
    <s v="High"/>
    <n v="10"/>
  </r>
  <r>
    <s v="ORD0100"/>
    <d v="2025-06-14T00:00:00"/>
    <s v="CUST059"/>
    <s v="Sneha Singh"/>
    <x v="7"/>
    <x v="0"/>
    <s v="Accessories"/>
    <x v="2"/>
    <s v="Ahmedabad"/>
    <s v="Gujarat"/>
    <n v="2"/>
    <n v="675"/>
    <x v="6"/>
    <x v="99"/>
    <x v="2"/>
    <n v="2025"/>
    <x v="5"/>
    <n v="5.3822222222222205E-4"/>
    <s v="Low"/>
    <n v="6"/>
  </r>
  <r>
    <s v="ORD0101"/>
    <d v="2025-08-31T00:00:00"/>
    <s v="CUST006"/>
    <s v="Kavya Gupta"/>
    <x v="14"/>
    <x v="0"/>
    <s v="Audio"/>
    <x v="0"/>
    <s v="Jaipur"/>
    <s v="Rajasthan"/>
    <n v="4"/>
    <n v="10880"/>
    <x v="5"/>
    <x v="100"/>
    <x v="1"/>
    <n v="2025"/>
    <x v="11"/>
    <n v="2.1796783088235301E-3"/>
    <s v="Low"/>
    <n v="8"/>
  </r>
  <r>
    <s v="ORD0102"/>
    <d v="2025-03-06T00:00:00"/>
    <s v="CUST064"/>
    <s v="Kavya Kumar"/>
    <x v="1"/>
    <x v="0"/>
    <s v="Computers"/>
    <x v="1"/>
    <s v="Chennai"/>
    <s v="Tamil Nadu"/>
    <n v="5"/>
    <n v="220000"/>
    <x v="3"/>
    <x v="101"/>
    <x v="2"/>
    <n v="2025"/>
    <x v="7"/>
    <n v="1.0138072727272701E-3"/>
    <s v="High"/>
    <n v="3"/>
  </r>
  <r>
    <s v="ORD0103"/>
    <d v="2025-08-22T00:00:00"/>
    <s v="CUST013"/>
    <s v="Rahul Rao"/>
    <x v="10"/>
    <x v="1"/>
    <s v="Storage"/>
    <x v="1"/>
    <s v="Chennai"/>
    <s v="Tamil Nadu"/>
    <n v="1"/>
    <n v="4875"/>
    <x v="6"/>
    <x v="102"/>
    <x v="1"/>
    <n v="2025"/>
    <x v="11"/>
    <n v="4.3979487179487202E-5"/>
    <s v="Low"/>
    <n v="8"/>
  </r>
  <r>
    <s v="ORD0104"/>
    <d v="2025-05-16T00:00:00"/>
    <s v="CUST010"/>
    <s v="Aarav Patel"/>
    <x v="6"/>
    <x v="1"/>
    <s v="Tables"/>
    <x v="0"/>
    <s v="Gurugram"/>
    <s v="Haryana"/>
    <n v="3"/>
    <n v="28800"/>
    <x v="3"/>
    <x v="103"/>
    <x v="4"/>
    <n v="2025"/>
    <x v="0"/>
    <n v="1.4604895833333299E-3"/>
    <s v="Low"/>
    <n v="5"/>
  </r>
  <r>
    <s v="ORD0105"/>
    <d v="2025-06-12T00:00:00"/>
    <s v="CUST069"/>
    <s v="Ananya Nair"/>
    <x v="2"/>
    <x v="1"/>
    <s v="Chairs"/>
    <x v="1"/>
    <s v="Chennai"/>
    <s v="Tamil Nadu"/>
    <n v="4"/>
    <n v="23800"/>
    <x v="1"/>
    <x v="104"/>
    <x v="1"/>
    <n v="2025"/>
    <x v="5"/>
    <n v="8.1893697478991603E-4"/>
    <s v="Low"/>
    <n v="6"/>
  </r>
  <r>
    <s v="ORD0106"/>
    <d v="2025-02-16T00:00:00"/>
    <s v="CUST037"/>
    <s v="Meera Kumar"/>
    <x v="11"/>
    <x v="0"/>
    <s v="Computers"/>
    <x v="1"/>
    <s v="Hyderabad"/>
    <s v="Telangana"/>
    <n v="4"/>
    <n v="58000"/>
    <x v="2"/>
    <x v="105"/>
    <x v="3"/>
    <n v="2025"/>
    <x v="10"/>
    <n v="2.3207396551724099E-3"/>
    <s v="High"/>
    <n v="2"/>
  </r>
  <r>
    <s v="ORD0107"/>
    <d v="2025-12-22T00:00:00"/>
    <s v="CUST057"/>
    <s v="Rahul Gupta"/>
    <x v="0"/>
    <x v="0"/>
    <s v="Accessories"/>
    <x v="1"/>
    <s v="Hyderabad"/>
    <s v="Telangana"/>
    <n v="3"/>
    <n v="5400"/>
    <x v="2"/>
    <x v="106"/>
    <x v="4"/>
    <n v="2025"/>
    <x v="8"/>
    <n v="8.9198148148148199E-4"/>
    <s v="Low"/>
    <n v="12"/>
  </r>
  <r>
    <s v="ORD0108"/>
    <d v="2025-08-09T00:00:00"/>
    <s v="CUST046"/>
    <s v="Pooja Patel"/>
    <x v="14"/>
    <x v="0"/>
    <s v="Audio"/>
    <x v="3"/>
    <s v="Kolkata"/>
    <s v="West Bengal"/>
    <n v="2"/>
    <n v="6080"/>
    <x v="0"/>
    <x v="107"/>
    <x v="1"/>
    <n v="2025"/>
    <x v="11"/>
    <n v="1.69159539473684E-3"/>
    <s v="Low"/>
    <n v="8"/>
  </r>
  <r>
    <s v="ORD0109"/>
    <d v="2025-02-10T00:00:00"/>
    <s v="CUST022"/>
    <s v="Arjun Verma"/>
    <x v="0"/>
    <x v="0"/>
    <s v="Accessories"/>
    <x v="0"/>
    <s v="Delhi"/>
    <s v="Delhi"/>
    <n v="5"/>
    <n v="6300"/>
    <x v="1"/>
    <x v="108"/>
    <x v="2"/>
    <n v="2025"/>
    <x v="10"/>
    <n v="4.5273015873015899E-4"/>
    <s v="Low"/>
    <n v="2"/>
  </r>
  <r>
    <s v="ORD0110"/>
    <d v="2025-04-29T00:00:00"/>
    <s v="CUST075"/>
    <s v="Priya Rao"/>
    <x v="0"/>
    <x v="0"/>
    <s v="Accessories"/>
    <x v="0"/>
    <s v="Delhi"/>
    <s v="Delhi"/>
    <n v="4"/>
    <n v="5400"/>
    <x v="6"/>
    <x v="109"/>
    <x v="3"/>
    <n v="2025"/>
    <x v="4"/>
    <n v="6.4837037037037001E-4"/>
    <s v="Low"/>
    <n v="4"/>
  </r>
  <r>
    <s v="ORD0111"/>
    <d v="2025-05-28T00:00:00"/>
    <s v="CUST060"/>
    <s v="Shreya Rao"/>
    <x v="7"/>
    <x v="0"/>
    <s v="Accessories"/>
    <x v="2"/>
    <s v="Mumbai"/>
    <s v="Maharashtra"/>
    <n v="5"/>
    <n v="2137.5"/>
    <x v="0"/>
    <x v="110"/>
    <x v="0"/>
    <n v="2025"/>
    <x v="0"/>
    <n v="7.2959064327485397E-4"/>
    <s v="Low"/>
    <n v="5"/>
  </r>
  <r>
    <s v="ORD0112"/>
    <d v="2025-08-06T00:00:00"/>
    <s v="CUST039"/>
    <s v="Ananya Reddy"/>
    <x v="13"/>
    <x v="3"/>
    <s v="Office Supplies"/>
    <x v="1"/>
    <s v="Hyderabad"/>
    <s v="Telangana"/>
    <n v="3"/>
    <n v="637.5"/>
    <x v="5"/>
    <x v="111"/>
    <x v="2"/>
    <n v="2025"/>
    <x v="11"/>
    <n v="2.11592156862745E-3"/>
    <s v="Low"/>
    <n v="8"/>
  </r>
  <r>
    <s v="ORD0113"/>
    <d v="2025-05-02T00:00:00"/>
    <s v="CUST062"/>
    <s v="Kiran Nair"/>
    <x v="4"/>
    <x v="0"/>
    <s v="Accessories"/>
    <x v="3"/>
    <s v="Kolkata"/>
    <s v="West Bengal"/>
    <n v="4"/>
    <n v="3840"/>
    <x v="3"/>
    <x v="112"/>
    <x v="4"/>
    <n v="2025"/>
    <x v="0"/>
    <n v="9.69973958333333E-4"/>
    <s v="Low"/>
    <n v="5"/>
  </r>
  <r>
    <s v="ORD0114"/>
    <d v="2025-12-04T00:00:00"/>
    <s v="CUST003"/>
    <s v="Priya Gupta"/>
    <x v="12"/>
    <x v="0"/>
    <s v="Office Equipment"/>
    <x v="1"/>
    <s v="Chennai"/>
    <s v="Tamil Nadu"/>
    <n v="4"/>
    <n v="41400"/>
    <x v="4"/>
    <x v="113"/>
    <x v="3"/>
    <n v="2025"/>
    <x v="8"/>
    <n v="3.9992995169082102E-4"/>
    <s v="High"/>
    <n v="12"/>
  </r>
  <r>
    <s v="ORD0115"/>
    <d v="2025-09-12T00:00:00"/>
    <s v="CUST078"/>
    <s v="Kiran Nair"/>
    <x v="3"/>
    <x v="2"/>
    <s v="Travel"/>
    <x v="1"/>
    <s v="Chennai"/>
    <s v="Tamil Nadu"/>
    <n v="3"/>
    <n v="3360"/>
    <x v="1"/>
    <x v="114"/>
    <x v="4"/>
    <n v="2025"/>
    <x v="2"/>
    <n v="1.3424107142857101E-3"/>
    <s v="Low"/>
    <n v="9"/>
  </r>
  <r>
    <s v="ORD0116"/>
    <d v="2025-04-08T00:00:00"/>
    <s v="CUST029"/>
    <s v="Kavya Sharma"/>
    <x v="13"/>
    <x v="3"/>
    <s v="Office Supplies"/>
    <x v="0"/>
    <s v="Delhi"/>
    <s v="Delhi"/>
    <n v="5"/>
    <n v="1125"/>
    <x v="4"/>
    <x v="115"/>
    <x v="1"/>
    <n v="2025"/>
    <x v="4"/>
    <n v="1.7752888888888901E-3"/>
    <s v="Low"/>
    <n v="4"/>
  </r>
  <r>
    <s v="ORD0117"/>
    <d v="2025-11-18T00:00:00"/>
    <s v="CUST013"/>
    <s v="Rahul Rao"/>
    <x v="7"/>
    <x v="0"/>
    <s v="Accessories"/>
    <x v="1"/>
    <s v="Chennai"/>
    <s v="Tamil Nadu"/>
    <n v="1"/>
    <n v="405"/>
    <x v="4"/>
    <x v="116"/>
    <x v="4"/>
    <n v="2025"/>
    <x v="1"/>
    <n v="2.1688888888888899E-3"/>
    <s v="Low"/>
    <n v="11"/>
  </r>
  <r>
    <s v="ORD0118"/>
    <d v="2025-06-01T00:00:00"/>
    <s v="CUST017"/>
    <s v="Rahul Gupta"/>
    <x v="4"/>
    <x v="0"/>
    <s v="Accessories"/>
    <x v="2"/>
    <s v="Pune"/>
    <s v="Maharashtra"/>
    <n v="3"/>
    <n v="2700"/>
    <x v="6"/>
    <x v="117"/>
    <x v="0"/>
    <n v="2025"/>
    <x v="5"/>
    <n v="1.00551851851852E-3"/>
    <s v="Low"/>
    <n v="6"/>
  </r>
  <r>
    <s v="ORD0119"/>
    <d v="2025-09-14T00:00:00"/>
    <s v="CUST047"/>
    <s v="Aarav Singh"/>
    <x v="10"/>
    <x v="1"/>
    <s v="Storage"/>
    <x v="2"/>
    <s v="Ahmedabad"/>
    <s v="Gujarat"/>
    <n v="3"/>
    <n v="13650"/>
    <x v="1"/>
    <x v="118"/>
    <x v="2"/>
    <n v="2025"/>
    <x v="2"/>
    <n v="-1.56446886446886E-4"/>
    <s v="Low"/>
    <n v="9"/>
  </r>
  <r>
    <s v="ORD0120"/>
    <d v="2025-06-23T00:00:00"/>
    <s v="CUST038"/>
    <s v="Varun Verma"/>
    <x v="3"/>
    <x v="2"/>
    <s v="Travel"/>
    <x v="1"/>
    <s v="Chennai"/>
    <s v="Tamil Nadu"/>
    <n v="1"/>
    <n v="1360"/>
    <x v="5"/>
    <x v="119"/>
    <x v="1"/>
    <n v="2025"/>
    <x v="5"/>
    <n v="2.3730147058823501E-3"/>
    <s v="Low"/>
    <n v="6"/>
  </r>
  <r>
    <s v="ORD0121"/>
    <d v="2025-10-13T00:00:00"/>
    <s v="CUST051"/>
    <s v="Sneha Gupta"/>
    <x v="12"/>
    <x v="0"/>
    <s v="Office Equipment"/>
    <x v="2"/>
    <s v="Ahmedabad"/>
    <s v="Gujarat"/>
    <n v="3"/>
    <n v="34500"/>
    <x v="2"/>
    <x v="120"/>
    <x v="0"/>
    <n v="2025"/>
    <x v="6"/>
    <n v="2.3813652173913001E-3"/>
    <s v="High"/>
    <n v="10"/>
  </r>
  <r>
    <s v="ORD0122"/>
    <d v="2025-07-08T00:00:00"/>
    <s v="CUST016"/>
    <s v="Isha Reddy"/>
    <x v="6"/>
    <x v="1"/>
    <s v="Tables"/>
    <x v="0"/>
    <s v="Gurugram"/>
    <s v="Haryana"/>
    <n v="3"/>
    <n v="28800"/>
    <x v="3"/>
    <x v="121"/>
    <x v="4"/>
    <n v="2025"/>
    <x v="3"/>
    <n v="8.4277777777777801E-4"/>
    <s v="Low"/>
    <n v="7"/>
  </r>
  <r>
    <s v="ORD0123"/>
    <d v="2025-04-30T00:00:00"/>
    <s v="CUST014"/>
    <s v="Meera Nair"/>
    <x v="13"/>
    <x v="3"/>
    <s v="Office Supplies"/>
    <x v="0"/>
    <s v="Jaipur"/>
    <s v="Rajasthan"/>
    <n v="4"/>
    <n v="1000"/>
    <x v="2"/>
    <x v="122"/>
    <x v="4"/>
    <n v="2025"/>
    <x v="4"/>
    <n v="2.0390999999999999E-3"/>
    <s v="Low"/>
    <n v="4"/>
  </r>
  <r>
    <s v="ORD0124"/>
    <d v="2025-11-28T00:00:00"/>
    <s v="CUST079"/>
    <s v="Kavya Kumar"/>
    <x v="11"/>
    <x v="0"/>
    <s v="Computers"/>
    <x v="2"/>
    <s v="Mumbai"/>
    <s v="Maharashtra"/>
    <n v="1"/>
    <n v="10875"/>
    <x v="6"/>
    <x v="123"/>
    <x v="4"/>
    <n v="2025"/>
    <x v="1"/>
    <n v="1.3793471264367801E-3"/>
    <s v="Low"/>
    <n v="11"/>
  </r>
  <r>
    <s v="ORD0125"/>
    <d v="2025-03-13T00:00:00"/>
    <s v="CUST053"/>
    <s v="Divya Sharma"/>
    <x v="4"/>
    <x v="0"/>
    <s v="Accessories"/>
    <x v="1"/>
    <s v="Chennai"/>
    <s v="Tamil Nadu"/>
    <n v="1"/>
    <n v="1200"/>
    <x v="2"/>
    <x v="124"/>
    <x v="3"/>
    <n v="2025"/>
    <x v="7"/>
    <n v="1.4087500000000001E-3"/>
    <s v="Low"/>
    <n v="3"/>
  </r>
  <r>
    <s v="ORD0126"/>
    <d v="2025-10-03T00:00:00"/>
    <s v="CUST031"/>
    <s v="Vikram Iyer"/>
    <x v="7"/>
    <x v="0"/>
    <s v="Accessories"/>
    <x v="0"/>
    <s v="Delhi"/>
    <s v="Delhi"/>
    <n v="2"/>
    <n v="765"/>
    <x v="5"/>
    <x v="125"/>
    <x v="0"/>
    <n v="2025"/>
    <x v="6"/>
    <n v="1.15581699346405E-3"/>
    <s v="Low"/>
    <n v="10"/>
  </r>
  <r>
    <s v="ORD0127"/>
    <d v="2025-03-21T00:00:00"/>
    <s v="CUST054"/>
    <s v="Meera Singh"/>
    <x v="5"/>
    <x v="3"/>
    <s v="Office Supplies"/>
    <x v="2"/>
    <s v="Mumbai"/>
    <s v="Maharashtra"/>
    <n v="4"/>
    <n v="540"/>
    <x v="6"/>
    <x v="126"/>
    <x v="2"/>
    <n v="2025"/>
    <x v="7"/>
    <n v="1.9222222222222199E-4"/>
    <s v="Low"/>
    <n v="3"/>
  </r>
  <r>
    <s v="ORD0128"/>
    <d v="2025-12-20T00:00:00"/>
    <s v="CUST036"/>
    <s v="Pooja Iyer"/>
    <x v="1"/>
    <x v="0"/>
    <s v="Computers"/>
    <x v="0"/>
    <s v="Gurugram"/>
    <s v="Haryana"/>
    <n v="3"/>
    <n v="156750"/>
    <x v="0"/>
    <x v="127"/>
    <x v="4"/>
    <n v="2025"/>
    <x v="8"/>
    <n v="1.4679470494417899E-3"/>
    <s v="High"/>
    <n v="12"/>
  </r>
  <r>
    <s v="ORD0129"/>
    <d v="2025-07-08T00:00:00"/>
    <s v="CUST013"/>
    <s v="Rahul Rao"/>
    <x v="13"/>
    <x v="3"/>
    <s v="Office Supplies"/>
    <x v="1"/>
    <s v="Chennai"/>
    <s v="Tamil Nadu"/>
    <n v="5"/>
    <n v="937.5"/>
    <x v="6"/>
    <x v="128"/>
    <x v="1"/>
    <n v="2025"/>
    <x v="3"/>
    <n v="7.68533333333333E-4"/>
    <s v="Low"/>
    <n v="7"/>
  </r>
  <r>
    <s v="ORD0130"/>
    <d v="2025-08-21T00:00:00"/>
    <s v="CUST016"/>
    <s v="Isha Reddy"/>
    <x v="12"/>
    <x v="0"/>
    <s v="Office Equipment"/>
    <x v="0"/>
    <s v="Gurugram"/>
    <s v="Haryana"/>
    <n v="1"/>
    <n v="8625"/>
    <x v="6"/>
    <x v="129"/>
    <x v="3"/>
    <n v="2025"/>
    <x v="11"/>
    <n v="3.24533333333333E-4"/>
    <s v="Low"/>
    <n v="8"/>
  </r>
  <r>
    <s v="ORD0131"/>
    <d v="2025-06-20T00:00:00"/>
    <s v="CUST007"/>
    <s v="Aarav Gupta"/>
    <x v="9"/>
    <x v="2"/>
    <s v="Travel"/>
    <x v="2"/>
    <s v="Mumbai"/>
    <s v="Maharashtra"/>
    <n v="2"/>
    <n v="1330"/>
    <x v="0"/>
    <x v="130"/>
    <x v="0"/>
    <n v="2025"/>
    <x v="5"/>
    <n v="2.2482706766917301E-3"/>
    <s v="Low"/>
    <n v="6"/>
  </r>
  <r>
    <s v="ORD0132"/>
    <d v="2025-04-21T00:00:00"/>
    <s v="CUST027"/>
    <s v="Kiran Singh"/>
    <x v="5"/>
    <x v="3"/>
    <s v="Office Supplies"/>
    <x v="2"/>
    <s v="Ahmedabad"/>
    <s v="Gujarat"/>
    <n v="2"/>
    <n v="324"/>
    <x v="4"/>
    <x v="131"/>
    <x v="0"/>
    <n v="2025"/>
    <x v="4"/>
    <n v="1.95154320987654E-3"/>
    <s v="Low"/>
    <n v="4"/>
  </r>
  <r>
    <s v="ORD0133"/>
    <d v="2025-03-16T00:00:00"/>
    <s v="CUST001"/>
    <s v="Priya Sharma"/>
    <x v="8"/>
    <x v="0"/>
    <s v="Phones"/>
    <x v="2"/>
    <s v="Pune"/>
    <s v="Maharashtra"/>
    <n v="2"/>
    <n v="44800"/>
    <x v="3"/>
    <x v="132"/>
    <x v="3"/>
    <n v="2025"/>
    <x v="7"/>
    <n v="8.1406026785714296E-4"/>
    <s v="High"/>
    <n v="3"/>
  </r>
  <r>
    <s v="ORD0134"/>
    <d v="2025-07-03T00:00:00"/>
    <s v="CUST017"/>
    <s v="Rahul Gupta"/>
    <x v="1"/>
    <x v="0"/>
    <s v="Computers"/>
    <x v="2"/>
    <s v="Pune"/>
    <s v="Maharashtra"/>
    <n v="2"/>
    <n v="88000"/>
    <x v="3"/>
    <x v="133"/>
    <x v="3"/>
    <n v="2025"/>
    <x v="3"/>
    <n v="9.6041931818181803E-4"/>
    <s v="High"/>
    <n v="7"/>
  </r>
  <r>
    <s v="ORD0135"/>
    <d v="2025-08-04T00:00:00"/>
    <s v="CUST017"/>
    <s v="Rahul Gupta"/>
    <x v="3"/>
    <x v="2"/>
    <s v="Travel"/>
    <x v="2"/>
    <s v="Pune"/>
    <s v="Maharashtra"/>
    <n v="5"/>
    <n v="8000"/>
    <x v="2"/>
    <x v="134"/>
    <x v="4"/>
    <n v="2025"/>
    <x v="11"/>
    <n v="2.2913249999999999E-3"/>
    <s v="Low"/>
    <n v="8"/>
  </r>
  <r>
    <s v="ORD0136"/>
    <d v="2025-02-25T00:00:00"/>
    <s v="CUST066"/>
    <s v="Isha Kumar"/>
    <x v="5"/>
    <x v="3"/>
    <s v="Office Supplies"/>
    <x v="0"/>
    <s v="Jaipur"/>
    <s v="Rajasthan"/>
    <n v="4"/>
    <n v="576"/>
    <x v="3"/>
    <x v="135"/>
    <x v="0"/>
    <n v="2025"/>
    <x v="10"/>
    <n v="5.3559027777777795E-4"/>
    <s v="Low"/>
    <n v="2"/>
  </r>
  <r>
    <s v="ORD0137"/>
    <d v="2025-11-26T00:00:00"/>
    <s v="CUST039"/>
    <s v="Ananya Reddy"/>
    <x v="6"/>
    <x v="1"/>
    <s v="Tables"/>
    <x v="1"/>
    <s v="Hyderabad"/>
    <s v="Telangana"/>
    <n v="1"/>
    <n v="12000"/>
    <x v="2"/>
    <x v="136"/>
    <x v="2"/>
    <n v="2025"/>
    <x v="1"/>
    <n v="2.7971749999999998E-3"/>
    <s v="Low"/>
    <n v="11"/>
  </r>
  <r>
    <s v="ORD0138"/>
    <d v="2025-12-31T00:00:00"/>
    <s v="CUST014"/>
    <s v="Meera Nair"/>
    <x v="6"/>
    <x v="1"/>
    <s v="Tables"/>
    <x v="0"/>
    <s v="Jaipur"/>
    <s v="Rajasthan"/>
    <n v="4"/>
    <n v="48000"/>
    <x v="2"/>
    <x v="137"/>
    <x v="1"/>
    <n v="2025"/>
    <x v="8"/>
    <n v="2.5985333333333302E-3"/>
    <s v="High"/>
    <n v="12"/>
  </r>
  <r>
    <s v="ORD0139"/>
    <d v="2025-05-21T00:00:00"/>
    <s v="CUST009"/>
    <s v="Nikhil Iyer"/>
    <x v="0"/>
    <x v="0"/>
    <s v="Accessories"/>
    <x v="2"/>
    <s v="Pune"/>
    <s v="Maharashtra"/>
    <n v="5"/>
    <n v="6750"/>
    <x v="6"/>
    <x v="138"/>
    <x v="2"/>
    <n v="2025"/>
    <x v="0"/>
    <n v="1.02562962962963E-3"/>
    <s v="Low"/>
    <n v="5"/>
  </r>
  <r>
    <s v="ORD0140"/>
    <d v="2025-05-31T00:00:00"/>
    <s v="CUST077"/>
    <s v="Ananya Reddy"/>
    <x v="10"/>
    <x v="1"/>
    <s v="Storage"/>
    <x v="1"/>
    <s v="Bengaluru"/>
    <s v="Karnataka"/>
    <n v="4"/>
    <n v="20800"/>
    <x v="3"/>
    <x v="139"/>
    <x v="3"/>
    <n v="2025"/>
    <x v="0"/>
    <n v="1.56126442307692E-3"/>
    <s v="Low"/>
    <n v="5"/>
  </r>
  <r>
    <s v="ORD0141"/>
    <d v="2025-04-21T00:00:00"/>
    <s v="CUST071"/>
    <s v="Divya Kumar"/>
    <x v="3"/>
    <x v="2"/>
    <s v="Travel"/>
    <x v="2"/>
    <s v="Ahmedabad"/>
    <s v="Gujarat"/>
    <n v="4"/>
    <n v="5440"/>
    <x v="5"/>
    <x v="140"/>
    <x v="2"/>
    <n v="2025"/>
    <x v="4"/>
    <n v="2.1210110294117598E-3"/>
    <s v="Low"/>
    <n v="4"/>
  </r>
  <r>
    <s v="ORD0142"/>
    <d v="2025-02-18T00:00:00"/>
    <s v="CUST052"/>
    <s v="Aarav Iyer"/>
    <x v="2"/>
    <x v="1"/>
    <s v="Chairs"/>
    <x v="0"/>
    <s v="Delhi"/>
    <s v="Delhi"/>
    <n v="3"/>
    <n v="21675"/>
    <x v="5"/>
    <x v="141"/>
    <x v="1"/>
    <n v="2025"/>
    <x v="10"/>
    <n v="1.0294625144175299E-3"/>
    <s v="Low"/>
    <n v="2"/>
  </r>
  <r>
    <s v="ORD0143"/>
    <d v="2025-02-16T00:00:00"/>
    <s v="CUST061"/>
    <s v="Isha Kumar"/>
    <x v="4"/>
    <x v="0"/>
    <s v="Accessories"/>
    <x v="2"/>
    <s v="Pune"/>
    <s v="Maharashtra"/>
    <n v="1"/>
    <n v="1200"/>
    <x v="2"/>
    <x v="142"/>
    <x v="4"/>
    <n v="2025"/>
    <x v="10"/>
    <n v="1.6637500000000001E-3"/>
    <s v="Low"/>
    <n v="2"/>
  </r>
  <r>
    <s v="ORD0144"/>
    <d v="2025-01-31T00:00:00"/>
    <s v="CUST017"/>
    <s v="Rahul Gupta"/>
    <x v="10"/>
    <x v="1"/>
    <s v="Storage"/>
    <x v="2"/>
    <s v="Pune"/>
    <s v="Maharashtra"/>
    <n v="5"/>
    <n v="26000"/>
    <x v="3"/>
    <x v="143"/>
    <x v="2"/>
    <n v="2025"/>
    <x v="9"/>
    <n v="1.1883615384615401E-3"/>
    <s v="Low"/>
    <n v="1"/>
  </r>
  <r>
    <s v="ORD0145"/>
    <d v="2025-12-07T00:00:00"/>
    <s v="CUST046"/>
    <s v="Pooja Patel"/>
    <x v="12"/>
    <x v="0"/>
    <s v="Office Equipment"/>
    <x v="3"/>
    <s v="Kolkata"/>
    <s v="West Bengal"/>
    <n v="4"/>
    <n v="32200"/>
    <x v="1"/>
    <x v="144"/>
    <x v="4"/>
    <n v="2025"/>
    <x v="8"/>
    <n v="1.9931024844720498E-3"/>
    <s v="High"/>
    <n v="12"/>
  </r>
  <r>
    <s v="ORD0146"/>
    <d v="2025-06-30T00:00:00"/>
    <s v="CUST077"/>
    <s v="Ananya Reddy"/>
    <x v="8"/>
    <x v="0"/>
    <s v="Phones"/>
    <x v="1"/>
    <s v="Bengaluru"/>
    <s v="Karnataka"/>
    <n v="1"/>
    <n v="22400"/>
    <x v="3"/>
    <x v="145"/>
    <x v="2"/>
    <n v="2025"/>
    <x v="5"/>
    <n v="1.33745982142857E-3"/>
    <s v="Low"/>
    <n v="6"/>
  </r>
  <r>
    <s v="ORD0147"/>
    <d v="2025-02-25T00:00:00"/>
    <s v="CUST029"/>
    <s v="Kavya Sharma"/>
    <x v="12"/>
    <x v="0"/>
    <s v="Office Equipment"/>
    <x v="0"/>
    <s v="Delhi"/>
    <s v="Delhi"/>
    <n v="3"/>
    <n v="24150"/>
    <x v="1"/>
    <x v="146"/>
    <x v="4"/>
    <n v="2025"/>
    <x v="10"/>
    <n v="1.2263685300207001E-3"/>
    <s v="Low"/>
    <n v="2"/>
  </r>
  <r>
    <s v="ORD0148"/>
    <d v="2025-08-08T00:00:00"/>
    <s v="CUST074"/>
    <s v="Pooja Kumar"/>
    <x v="11"/>
    <x v="0"/>
    <s v="Computers"/>
    <x v="1"/>
    <s v="Chennai"/>
    <s v="Tamil Nadu"/>
    <n v="5"/>
    <n v="50750"/>
    <x v="1"/>
    <x v="147"/>
    <x v="0"/>
    <n v="2025"/>
    <x v="11"/>
    <n v="1.37667389162562E-3"/>
    <s v="High"/>
    <n v="8"/>
  </r>
  <r>
    <s v="ORD0149"/>
    <d v="2025-12-03T00:00:00"/>
    <s v="CUST004"/>
    <s v="Akash Rao"/>
    <x v="5"/>
    <x v="3"/>
    <s v="Office Supplies"/>
    <x v="1"/>
    <s v="Bengaluru"/>
    <s v="Karnataka"/>
    <n v="3"/>
    <n v="540"/>
    <x v="2"/>
    <x v="148"/>
    <x v="4"/>
    <n v="2025"/>
    <x v="8"/>
    <n v="1.16074074074074E-3"/>
    <s v="Low"/>
    <n v="12"/>
  </r>
  <r>
    <s v="ORD0150"/>
    <d v="2025-01-04T00:00:00"/>
    <s v="CUST044"/>
    <s v="Priya Gupta"/>
    <x v="14"/>
    <x v="0"/>
    <s v="Audio"/>
    <x v="2"/>
    <s v="Pune"/>
    <s v="Maharashtra"/>
    <n v="2"/>
    <n v="4480"/>
    <x v="1"/>
    <x v="149"/>
    <x v="3"/>
    <n v="2025"/>
    <x v="9"/>
    <n v="-6.4955357142857098E-6"/>
    <s v="Low"/>
    <n v="1"/>
  </r>
  <r>
    <s v="ORD0151"/>
    <d v="2025-11-21T00:00:00"/>
    <s v="CUST019"/>
    <s v="Vikram Reddy"/>
    <x v="3"/>
    <x v="2"/>
    <s v="Travel"/>
    <x v="1"/>
    <s v="Bengaluru"/>
    <s v="Karnataka"/>
    <n v="1"/>
    <n v="1600"/>
    <x v="2"/>
    <x v="150"/>
    <x v="2"/>
    <n v="2025"/>
    <x v="1"/>
    <n v="2.29225E-3"/>
    <s v="Low"/>
    <n v="11"/>
  </r>
  <r>
    <s v="ORD0152"/>
    <d v="2025-03-22T00:00:00"/>
    <s v="CUST059"/>
    <s v="Sneha Singh"/>
    <x v="14"/>
    <x v="0"/>
    <s v="Audio"/>
    <x v="2"/>
    <s v="Ahmedabad"/>
    <s v="Gujarat"/>
    <n v="3"/>
    <n v="8640"/>
    <x v="4"/>
    <x v="151"/>
    <x v="0"/>
    <n v="2025"/>
    <x v="7"/>
    <n v="1.8489814814814801E-3"/>
    <s v="Low"/>
    <n v="3"/>
  </r>
  <r>
    <s v="ORD0153"/>
    <d v="2025-01-27T00:00:00"/>
    <s v="CUST077"/>
    <s v="Ananya Reddy"/>
    <x v="4"/>
    <x v="0"/>
    <s v="Accessories"/>
    <x v="1"/>
    <s v="Bengaluru"/>
    <s v="Karnataka"/>
    <n v="2"/>
    <n v="2280"/>
    <x v="0"/>
    <x v="152"/>
    <x v="3"/>
    <n v="2025"/>
    <x v="9"/>
    <n v="2.2026315789473701E-3"/>
    <s v="Low"/>
    <n v="1"/>
  </r>
  <r>
    <s v="ORD0154"/>
    <d v="2025-12-05T00:00:00"/>
    <s v="CUST035"/>
    <s v="Isha Singh"/>
    <x v="6"/>
    <x v="1"/>
    <s v="Tables"/>
    <x v="0"/>
    <s v="Jaipur"/>
    <s v="Rajasthan"/>
    <n v="4"/>
    <n v="40800"/>
    <x v="5"/>
    <x v="153"/>
    <x v="1"/>
    <n v="2025"/>
    <x v="8"/>
    <n v="1.55883333333333E-3"/>
    <s v="High"/>
    <n v="12"/>
  </r>
  <r>
    <s v="ORD0155"/>
    <d v="2025-06-26T00:00:00"/>
    <s v="CUST066"/>
    <s v="Isha Kumar"/>
    <x v="4"/>
    <x v="0"/>
    <s v="Accessories"/>
    <x v="0"/>
    <s v="Jaipur"/>
    <s v="Rajasthan"/>
    <n v="4"/>
    <n v="4800"/>
    <x v="2"/>
    <x v="154"/>
    <x v="2"/>
    <n v="2025"/>
    <x v="5"/>
    <n v="1.3665000000000001E-3"/>
    <s v="Low"/>
    <n v="6"/>
  </r>
  <r>
    <s v="ORD0156"/>
    <d v="2025-06-07T00:00:00"/>
    <s v="CUST068"/>
    <s v="Ananya Kumar"/>
    <x v="13"/>
    <x v="3"/>
    <s v="Office Supplies"/>
    <x v="1"/>
    <s v="Chennai"/>
    <s v="Tamil Nadu"/>
    <n v="1"/>
    <n v="237.5"/>
    <x v="0"/>
    <x v="155"/>
    <x v="3"/>
    <n v="2025"/>
    <x v="5"/>
    <n v="1.4155789473684201E-3"/>
    <s v="Low"/>
    <n v="6"/>
  </r>
  <r>
    <s v="ORD0157"/>
    <d v="2025-04-19T00:00:00"/>
    <s v="CUST027"/>
    <s v="Kiran Singh"/>
    <x v="8"/>
    <x v="0"/>
    <s v="Phones"/>
    <x v="2"/>
    <s v="Ahmedabad"/>
    <s v="Gujarat"/>
    <n v="2"/>
    <n v="39200"/>
    <x v="1"/>
    <x v="156"/>
    <x v="3"/>
    <n v="2025"/>
    <x v="4"/>
    <n v="4.6494642857142801E-4"/>
    <s v="High"/>
    <n v="4"/>
  </r>
  <r>
    <s v="ORD0158"/>
    <d v="2025-08-09T00:00:00"/>
    <s v="CUST064"/>
    <s v="Kavya Kumar"/>
    <x v="3"/>
    <x v="2"/>
    <s v="Travel"/>
    <x v="1"/>
    <s v="Chennai"/>
    <s v="Tamil Nadu"/>
    <n v="2"/>
    <n v="3040"/>
    <x v="0"/>
    <x v="157"/>
    <x v="0"/>
    <n v="2025"/>
    <x v="11"/>
    <n v="1.37246710526316E-3"/>
    <s v="Low"/>
    <n v="8"/>
  </r>
  <r>
    <s v="ORD0159"/>
    <d v="2025-12-09T00:00:00"/>
    <s v="CUST072"/>
    <s v="Rohan Iyer"/>
    <x v="12"/>
    <x v="0"/>
    <s v="Office Equipment"/>
    <x v="0"/>
    <s v="Jaipur"/>
    <s v="Rajasthan"/>
    <n v="3"/>
    <n v="34500"/>
    <x v="2"/>
    <x v="158"/>
    <x v="2"/>
    <n v="2025"/>
    <x v="8"/>
    <n v="1.59414202898551E-3"/>
    <s v="High"/>
    <n v="12"/>
  </r>
  <r>
    <s v="ORD0160"/>
    <d v="2025-02-09T00:00:00"/>
    <s v="CUST003"/>
    <s v="Priya Gupta"/>
    <x v="6"/>
    <x v="1"/>
    <s v="Tables"/>
    <x v="1"/>
    <s v="Chennai"/>
    <s v="Tamil Nadu"/>
    <n v="3"/>
    <n v="28800"/>
    <x v="3"/>
    <x v="159"/>
    <x v="2"/>
    <n v="2025"/>
    <x v="10"/>
    <n v="1.0563576388888901E-3"/>
    <s v="Low"/>
    <n v="2"/>
  </r>
  <r>
    <s v="ORD0161"/>
    <d v="2025-07-27T00:00:00"/>
    <s v="CUST038"/>
    <s v="Varun Verma"/>
    <x v="4"/>
    <x v="0"/>
    <s v="Accessories"/>
    <x v="1"/>
    <s v="Chennai"/>
    <s v="Tamil Nadu"/>
    <n v="1"/>
    <n v="1080"/>
    <x v="4"/>
    <x v="160"/>
    <x v="2"/>
    <n v="2025"/>
    <x v="3"/>
    <n v="7.0685185185185196E-4"/>
    <s v="Low"/>
    <n v="7"/>
  </r>
  <r>
    <s v="ORD0162"/>
    <d v="2025-08-12T00:00:00"/>
    <s v="CUST047"/>
    <s v="Aarav Singh"/>
    <x v="4"/>
    <x v="0"/>
    <s v="Accessories"/>
    <x v="2"/>
    <s v="Ahmedabad"/>
    <s v="Gujarat"/>
    <n v="1"/>
    <n v="1140"/>
    <x v="0"/>
    <x v="161"/>
    <x v="3"/>
    <n v="2025"/>
    <x v="11"/>
    <n v="1.5213157894736801E-3"/>
    <s v="Low"/>
    <n v="8"/>
  </r>
  <r>
    <s v="ORD0163"/>
    <d v="2025-06-08T00:00:00"/>
    <s v="CUST051"/>
    <s v="Sneha Gupta"/>
    <x v="12"/>
    <x v="0"/>
    <s v="Office Equipment"/>
    <x v="2"/>
    <s v="Ahmedabad"/>
    <s v="Gujarat"/>
    <n v="3"/>
    <n v="32775"/>
    <x v="0"/>
    <x v="162"/>
    <x v="0"/>
    <n v="2025"/>
    <x v="5"/>
    <n v="1.3451197559115201E-3"/>
    <s v="High"/>
    <n v="6"/>
  </r>
  <r>
    <s v="ORD0164"/>
    <d v="2025-09-19T00:00:00"/>
    <s v="CUST015"/>
    <s v="Arjun Sharma"/>
    <x v="10"/>
    <x v="1"/>
    <s v="Storage"/>
    <x v="3"/>
    <s v="Kolkata"/>
    <s v="West Bengal"/>
    <n v="2"/>
    <n v="9100"/>
    <x v="1"/>
    <x v="163"/>
    <x v="1"/>
    <n v="2025"/>
    <x v="2"/>
    <n v="3.5321978021978E-4"/>
    <s v="Low"/>
    <n v="9"/>
  </r>
  <r>
    <s v="ORD0165"/>
    <d v="2025-03-16T00:00:00"/>
    <s v="CUST031"/>
    <s v="Vikram Iyer"/>
    <x v="4"/>
    <x v="0"/>
    <s v="Accessories"/>
    <x v="0"/>
    <s v="Delhi"/>
    <s v="Delhi"/>
    <n v="3"/>
    <n v="3420"/>
    <x v="0"/>
    <x v="164"/>
    <x v="3"/>
    <n v="2025"/>
    <x v="7"/>
    <n v="1.02789473684211E-3"/>
    <s v="Low"/>
    <n v="3"/>
  </r>
  <r>
    <s v="ORD0166"/>
    <d v="2025-11-18T00:00:00"/>
    <s v="CUST023"/>
    <s v="Sneha Nair"/>
    <x v="9"/>
    <x v="2"/>
    <s v="Travel"/>
    <x v="0"/>
    <s v="Delhi"/>
    <s v="Delhi"/>
    <n v="4"/>
    <n v="2380"/>
    <x v="5"/>
    <x v="165"/>
    <x v="2"/>
    <n v="2025"/>
    <x v="1"/>
    <n v="1.7239495798319301E-3"/>
    <s v="Low"/>
    <n v="11"/>
  </r>
  <r>
    <s v="ORD0167"/>
    <d v="2025-11-22T00:00:00"/>
    <s v="CUST073"/>
    <s v="Divya Kumar"/>
    <x v="13"/>
    <x v="3"/>
    <s v="Office Supplies"/>
    <x v="3"/>
    <s v="Kolkata"/>
    <s v="West Bengal"/>
    <n v="5"/>
    <n v="1125"/>
    <x v="4"/>
    <x v="166"/>
    <x v="1"/>
    <n v="2025"/>
    <x v="1"/>
    <n v="2.17173333333333E-3"/>
    <s v="Low"/>
    <n v="11"/>
  </r>
  <r>
    <s v="ORD0168"/>
    <d v="2025-08-29T00:00:00"/>
    <s v="CUST057"/>
    <s v="Rahul Gupta"/>
    <x v="4"/>
    <x v="0"/>
    <s v="Accessories"/>
    <x v="1"/>
    <s v="Hyderabad"/>
    <s v="Telangana"/>
    <n v="4"/>
    <n v="3600"/>
    <x v="6"/>
    <x v="167"/>
    <x v="3"/>
    <n v="2025"/>
    <x v="11"/>
    <n v="7.3397222222222201E-4"/>
    <s v="Low"/>
    <n v="8"/>
  </r>
  <r>
    <s v="ORD0169"/>
    <d v="2025-02-07T00:00:00"/>
    <s v="CUST046"/>
    <s v="Pooja Patel"/>
    <x v="10"/>
    <x v="1"/>
    <s v="Storage"/>
    <x v="3"/>
    <s v="Kolkata"/>
    <s v="West Bengal"/>
    <n v="3"/>
    <n v="16575"/>
    <x v="5"/>
    <x v="168"/>
    <x v="4"/>
    <n v="2025"/>
    <x v="10"/>
    <n v="1.38249170437406E-3"/>
    <s v="Low"/>
    <n v="2"/>
  </r>
  <r>
    <s v="ORD0170"/>
    <d v="2025-02-16T00:00:00"/>
    <s v="CUST010"/>
    <s v="Aarav Patel"/>
    <x v="13"/>
    <x v="3"/>
    <s v="Office Supplies"/>
    <x v="0"/>
    <s v="Gurugram"/>
    <s v="Haryana"/>
    <n v="5"/>
    <n v="1000"/>
    <x v="3"/>
    <x v="169"/>
    <x v="0"/>
    <n v="2025"/>
    <x v="10"/>
    <n v="1.1827999999999999E-3"/>
    <s v="Low"/>
    <n v="2"/>
  </r>
  <r>
    <s v="ORD0171"/>
    <d v="2025-10-20T00:00:00"/>
    <s v="CUST006"/>
    <s v="Kavya Gupta"/>
    <x v="6"/>
    <x v="1"/>
    <s v="Tables"/>
    <x v="0"/>
    <s v="Jaipur"/>
    <s v="Rajasthan"/>
    <n v="2"/>
    <n v="21600"/>
    <x v="4"/>
    <x v="170"/>
    <x v="3"/>
    <n v="2025"/>
    <x v="6"/>
    <n v="1.6846712962963E-3"/>
    <s v="Low"/>
    <n v="10"/>
  </r>
  <r>
    <s v="ORD0172"/>
    <d v="2025-06-25T00:00:00"/>
    <s v="CUST058"/>
    <s v="Rohan Verma"/>
    <x v="4"/>
    <x v="0"/>
    <s v="Accessories"/>
    <x v="2"/>
    <s v="Ahmedabad"/>
    <s v="Gujarat"/>
    <n v="1"/>
    <n v="960"/>
    <x v="3"/>
    <x v="171"/>
    <x v="2"/>
    <n v="2025"/>
    <x v="5"/>
    <n v="1.6727083333333301E-3"/>
    <s v="Low"/>
    <n v="6"/>
  </r>
  <r>
    <s v="ORD0173"/>
    <d v="2025-09-25T00:00:00"/>
    <s v="CUST057"/>
    <s v="Rahul Gupta"/>
    <x v="10"/>
    <x v="1"/>
    <s v="Storage"/>
    <x v="1"/>
    <s v="Hyderabad"/>
    <s v="Telangana"/>
    <n v="5"/>
    <n v="30875"/>
    <x v="0"/>
    <x v="172"/>
    <x v="2"/>
    <n v="2025"/>
    <x v="2"/>
    <n v="1.31305263157895E-3"/>
    <s v="High"/>
    <n v="9"/>
  </r>
  <r>
    <s v="ORD0174"/>
    <d v="2025-06-23T00:00:00"/>
    <s v="CUST053"/>
    <s v="Divya Sharma"/>
    <x v="9"/>
    <x v="2"/>
    <s v="Travel"/>
    <x v="1"/>
    <s v="Chennai"/>
    <s v="Tamil Nadu"/>
    <n v="5"/>
    <n v="3500"/>
    <x v="2"/>
    <x v="173"/>
    <x v="3"/>
    <n v="2025"/>
    <x v="5"/>
    <n v="2.3784571428571398E-3"/>
    <s v="Low"/>
    <n v="6"/>
  </r>
  <r>
    <s v="ORD0175"/>
    <d v="2025-10-13T00:00:00"/>
    <s v="CUST043"/>
    <s v="Arjun Gupta"/>
    <x v="4"/>
    <x v="0"/>
    <s v="Accessories"/>
    <x v="1"/>
    <s v="Bengaluru"/>
    <s v="Karnataka"/>
    <n v="4"/>
    <n v="4320"/>
    <x v="4"/>
    <x v="174"/>
    <x v="0"/>
    <n v="2025"/>
    <x v="6"/>
    <n v="8.9111111111111097E-4"/>
    <s v="Low"/>
    <n v="10"/>
  </r>
  <r>
    <s v="ORD0176"/>
    <d v="2025-02-11T00:00:00"/>
    <s v="CUST020"/>
    <s v="Kavya Singh"/>
    <x v="14"/>
    <x v="0"/>
    <s v="Audio"/>
    <x v="1"/>
    <s v="Chennai"/>
    <s v="Tamil Nadu"/>
    <n v="5"/>
    <n v="12000"/>
    <x v="6"/>
    <x v="175"/>
    <x v="2"/>
    <n v="2025"/>
    <x v="10"/>
    <n v="3.6421666666666702E-4"/>
    <s v="Low"/>
    <n v="2"/>
  </r>
  <r>
    <s v="ORD0177"/>
    <d v="2025-12-29T00:00:00"/>
    <s v="CUST017"/>
    <s v="Rahul Gupta"/>
    <x v="5"/>
    <x v="3"/>
    <s v="Office Supplies"/>
    <x v="2"/>
    <s v="Pune"/>
    <s v="Maharashtra"/>
    <n v="1"/>
    <n v="162"/>
    <x v="4"/>
    <x v="176"/>
    <x v="4"/>
    <n v="2025"/>
    <x v="8"/>
    <n v="1.5567901234567901E-3"/>
    <s v="Low"/>
    <n v="12"/>
  </r>
  <r>
    <s v="ORD0178"/>
    <d v="2025-12-26T00:00:00"/>
    <s v="CUST017"/>
    <s v="Rahul Gupta"/>
    <x v="13"/>
    <x v="3"/>
    <s v="Office Supplies"/>
    <x v="2"/>
    <s v="Pune"/>
    <s v="Maharashtra"/>
    <n v="5"/>
    <n v="1250"/>
    <x v="2"/>
    <x v="177"/>
    <x v="4"/>
    <n v="2025"/>
    <x v="8"/>
    <n v="2.0920800000000001E-3"/>
    <s v="Low"/>
    <n v="12"/>
  </r>
  <r>
    <s v="ORD0179"/>
    <d v="2025-06-08T00:00:00"/>
    <s v="CUST003"/>
    <s v="Priya Gupta"/>
    <x v="14"/>
    <x v="0"/>
    <s v="Audio"/>
    <x v="1"/>
    <s v="Chennai"/>
    <s v="Tamil Nadu"/>
    <n v="2"/>
    <n v="6080"/>
    <x v="0"/>
    <x v="178"/>
    <x v="1"/>
    <n v="2025"/>
    <x v="5"/>
    <n v="1.2876973684210499E-3"/>
    <s v="Low"/>
    <n v="6"/>
  </r>
  <r>
    <s v="ORD0180"/>
    <d v="2025-03-21T00:00:00"/>
    <s v="CUST029"/>
    <s v="Kavya Sharma"/>
    <x v="0"/>
    <x v="0"/>
    <s v="Accessories"/>
    <x v="0"/>
    <s v="Delhi"/>
    <s v="Delhi"/>
    <n v="1"/>
    <n v="1620"/>
    <x v="4"/>
    <x v="179"/>
    <x v="0"/>
    <n v="2025"/>
    <x v="7"/>
    <n v="2.2635802469135801E-3"/>
    <s v="Low"/>
    <n v="3"/>
  </r>
  <r>
    <s v="ORD0181"/>
    <d v="2025-12-05T00:00:00"/>
    <s v="CUST068"/>
    <s v="Ananya Kumar"/>
    <x v="1"/>
    <x v="0"/>
    <s v="Computers"/>
    <x v="1"/>
    <s v="Chennai"/>
    <s v="Tamil Nadu"/>
    <n v="3"/>
    <n v="115500"/>
    <x v="1"/>
    <x v="180"/>
    <x v="1"/>
    <n v="2025"/>
    <x v="8"/>
    <n v="9.8812813852813797E-4"/>
    <s v="High"/>
    <n v="12"/>
  </r>
  <r>
    <s v="ORD0182"/>
    <d v="2025-12-21T00:00:00"/>
    <s v="CUST021"/>
    <s v="Kavya Reddy"/>
    <x v="0"/>
    <x v="0"/>
    <s v="Accessories"/>
    <x v="0"/>
    <s v="Gurugram"/>
    <s v="Haryana"/>
    <n v="5"/>
    <n v="6300"/>
    <x v="1"/>
    <x v="181"/>
    <x v="3"/>
    <n v="2025"/>
    <x v="8"/>
    <n v="1.4644285714285701E-3"/>
    <s v="Low"/>
    <n v="12"/>
  </r>
  <r>
    <s v="ORD0183"/>
    <d v="2025-12-13T00:00:00"/>
    <s v="CUST053"/>
    <s v="Divya Sharma"/>
    <x v="14"/>
    <x v="0"/>
    <s v="Audio"/>
    <x v="1"/>
    <s v="Chennai"/>
    <s v="Tamil Nadu"/>
    <n v="2"/>
    <n v="5440"/>
    <x v="5"/>
    <x v="182"/>
    <x v="2"/>
    <n v="2025"/>
    <x v="8"/>
    <n v="1.4390441176470601E-3"/>
    <s v="Low"/>
    <n v="12"/>
  </r>
  <r>
    <s v="ORD0184"/>
    <d v="2025-05-03T00:00:00"/>
    <s v="CUST030"/>
    <s v="Kiran Singh"/>
    <x v="10"/>
    <x v="1"/>
    <s v="Storage"/>
    <x v="1"/>
    <s v="Chennai"/>
    <s v="Tamil Nadu"/>
    <n v="3"/>
    <n v="13650"/>
    <x v="1"/>
    <x v="183"/>
    <x v="1"/>
    <n v="2025"/>
    <x v="0"/>
    <n v="1.0907619047618999E-3"/>
    <s v="Low"/>
    <n v="5"/>
  </r>
  <r>
    <s v="ORD0185"/>
    <d v="2025-10-20T00:00:00"/>
    <s v="CUST048"/>
    <s v="Sneha Gupta"/>
    <x v="13"/>
    <x v="3"/>
    <s v="Office Supplies"/>
    <x v="1"/>
    <s v="Chennai"/>
    <s v="Tamil Nadu"/>
    <n v="4"/>
    <n v="850"/>
    <x v="5"/>
    <x v="184"/>
    <x v="0"/>
    <n v="2025"/>
    <x v="6"/>
    <n v="1.7470588235294099E-3"/>
    <s v="Low"/>
    <n v="10"/>
  </r>
  <r>
    <s v="ORD0186"/>
    <d v="2025-03-24T00:00:00"/>
    <s v="CUST068"/>
    <s v="Ananya Kumar"/>
    <x v="2"/>
    <x v="1"/>
    <s v="Chairs"/>
    <x v="1"/>
    <s v="Chennai"/>
    <s v="Tamil Nadu"/>
    <n v="2"/>
    <n v="11900"/>
    <x v="1"/>
    <x v="185"/>
    <x v="3"/>
    <n v="2025"/>
    <x v="7"/>
    <n v="7.5457142857142899E-4"/>
    <s v="Low"/>
    <n v="3"/>
  </r>
  <r>
    <s v="ORD0187"/>
    <d v="2025-07-10T00:00:00"/>
    <s v="CUST062"/>
    <s v="Kiran Nair"/>
    <x v="12"/>
    <x v="0"/>
    <s v="Office Equipment"/>
    <x v="3"/>
    <s v="Kolkata"/>
    <s v="West Bengal"/>
    <n v="5"/>
    <n v="57500"/>
    <x v="2"/>
    <x v="186"/>
    <x v="3"/>
    <n v="2025"/>
    <x v="3"/>
    <n v="2.22280173913044E-3"/>
    <s v="High"/>
    <n v="7"/>
  </r>
  <r>
    <s v="ORD0188"/>
    <d v="2025-03-24T00:00:00"/>
    <s v="CUST037"/>
    <s v="Meera Kumar"/>
    <x v="4"/>
    <x v="0"/>
    <s v="Accessories"/>
    <x v="1"/>
    <s v="Hyderabad"/>
    <s v="Telangana"/>
    <n v="3"/>
    <n v="3060"/>
    <x v="5"/>
    <x v="187"/>
    <x v="2"/>
    <n v="2025"/>
    <x v="7"/>
    <n v="2.2553594771241802E-3"/>
    <s v="Low"/>
    <n v="3"/>
  </r>
  <r>
    <s v="ORD0189"/>
    <d v="2025-04-24T00:00:00"/>
    <s v="CUST012"/>
    <s v="Vikram Nair"/>
    <x v="7"/>
    <x v="0"/>
    <s v="Accessories"/>
    <x v="1"/>
    <s v="Chennai"/>
    <s v="Tamil Nadu"/>
    <n v="4"/>
    <n v="1620"/>
    <x v="4"/>
    <x v="188"/>
    <x v="2"/>
    <n v="2025"/>
    <x v="4"/>
    <n v="2.3572222222222202E-3"/>
    <s v="Low"/>
    <n v="4"/>
  </r>
  <r>
    <s v="ORD0190"/>
    <d v="2025-05-01T00:00:00"/>
    <s v="CUST065"/>
    <s v="Aditya Sharma"/>
    <x v="14"/>
    <x v="0"/>
    <s v="Audio"/>
    <x v="0"/>
    <s v="Jaipur"/>
    <s v="Rajasthan"/>
    <n v="4"/>
    <n v="12800"/>
    <x v="2"/>
    <x v="189"/>
    <x v="3"/>
    <n v="2025"/>
    <x v="0"/>
    <n v="1.549828125E-3"/>
    <s v="Low"/>
    <n v="5"/>
  </r>
  <r>
    <s v="ORD0191"/>
    <d v="2025-03-16T00:00:00"/>
    <s v="CUST043"/>
    <s v="Arjun Gupta"/>
    <x v="9"/>
    <x v="2"/>
    <s v="Travel"/>
    <x v="1"/>
    <s v="Bengaluru"/>
    <s v="Karnataka"/>
    <n v="2"/>
    <n v="1400"/>
    <x v="2"/>
    <x v="190"/>
    <x v="1"/>
    <n v="2025"/>
    <x v="7"/>
    <n v="1.37378571428571E-3"/>
    <s v="Low"/>
    <n v="3"/>
  </r>
  <r>
    <s v="ORD0192"/>
    <d v="2025-11-12T00:00:00"/>
    <s v="CUST061"/>
    <s v="Isha Kumar"/>
    <x v="6"/>
    <x v="1"/>
    <s v="Tables"/>
    <x v="2"/>
    <s v="Pune"/>
    <s v="Maharashtra"/>
    <n v="1"/>
    <n v="12000"/>
    <x v="2"/>
    <x v="191"/>
    <x v="1"/>
    <n v="2025"/>
    <x v="1"/>
    <n v="8.3800833333333305E-4"/>
    <s v="Low"/>
    <n v="11"/>
  </r>
  <r>
    <s v="ORD0193"/>
    <d v="2025-11-08T00:00:00"/>
    <s v="CUST071"/>
    <s v="Divya Kumar"/>
    <x v="3"/>
    <x v="2"/>
    <s v="Travel"/>
    <x v="2"/>
    <s v="Ahmedabad"/>
    <s v="Gujarat"/>
    <n v="5"/>
    <n v="6800"/>
    <x v="5"/>
    <x v="192"/>
    <x v="4"/>
    <n v="2025"/>
    <x v="1"/>
    <n v="6.1433823529411804E-4"/>
    <s v="Low"/>
    <n v="11"/>
  </r>
  <r>
    <s v="ORD0194"/>
    <d v="2025-05-03T00:00:00"/>
    <s v="CUST016"/>
    <s v="Isha Reddy"/>
    <x v="1"/>
    <x v="0"/>
    <s v="Computers"/>
    <x v="0"/>
    <s v="Gurugram"/>
    <s v="Haryana"/>
    <n v="4"/>
    <n v="165000"/>
    <x v="6"/>
    <x v="193"/>
    <x v="3"/>
    <n v="2025"/>
    <x v="0"/>
    <n v="1.6021024242424201E-3"/>
    <s v="High"/>
    <n v="5"/>
  </r>
  <r>
    <s v="ORD0195"/>
    <d v="2025-10-02T00:00:00"/>
    <s v="CUST064"/>
    <s v="Kavya Kumar"/>
    <x v="5"/>
    <x v="3"/>
    <s v="Office Supplies"/>
    <x v="1"/>
    <s v="Chennai"/>
    <s v="Tamil Nadu"/>
    <n v="1"/>
    <n v="135"/>
    <x v="6"/>
    <x v="194"/>
    <x v="1"/>
    <n v="2025"/>
    <x v="6"/>
    <n v="1.1792592592592601E-3"/>
    <s v="Low"/>
    <n v="10"/>
  </r>
  <r>
    <s v="ORD0196"/>
    <d v="2025-01-01T00:00:00"/>
    <s v="CUST038"/>
    <s v="Varun Verma"/>
    <x v="2"/>
    <x v="1"/>
    <s v="Chairs"/>
    <x v="1"/>
    <s v="Chennai"/>
    <s v="Tamil Nadu"/>
    <n v="5"/>
    <n v="38250"/>
    <x v="4"/>
    <x v="195"/>
    <x v="3"/>
    <n v="2025"/>
    <x v="9"/>
    <n v="9.7698562091503302E-4"/>
    <s v="High"/>
    <n v="1"/>
  </r>
  <r>
    <s v="ORD0197"/>
    <d v="2025-02-04T00:00:00"/>
    <s v="CUST068"/>
    <s v="Ananya Kumar"/>
    <x v="14"/>
    <x v="0"/>
    <s v="Audio"/>
    <x v="1"/>
    <s v="Chennai"/>
    <s v="Tamil Nadu"/>
    <n v="5"/>
    <n v="12800"/>
    <x v="3"/>
    <x v="196"/>
    <x v="0"/>
    <n v="2025"/>
    <x v="10"/>
    <n v="9.2049218749999998E-4"/>
    <s v="Low"/>
    <n v="2"/>
  </r>
  <r>
    <s v="ORD0198"/>
    <d v="2025-08-29T00:00:00"/>
    <s v="CUST003"/>
    <s v="Priya Gupta"/>
    <x v="2"/>
    <x v="1"/>
    <s v="Chairs"/>
    <x v="1"/>
    <s v="Chennai"/>
    <s v="Tamil Nadu"/>
    <n v="1"/>
    <n v="6375"/>
    <x v="6"/>
    <x v="197"/>
    <x v="3"/>
    <n v="2025"/>
    <x v="11"/>
    <n v="8.4045490196078397E-4"/>
    <s v="Low"/>
    <n v="8"/>
  </r>
  <r>
    <s v="ORD0199"/>
    <d v="2025-02-04T00:00:00"/>
    <s v="CUST046"/>
    <s v="Pooja Patel"/>
    <x v="9"/>
    <x v="2"/>
    <s v="Travel"/>
    <x v="3"/>
    <s v="Kolkata"/>
    <s v="West Bengal"/>
    <n v="3"/>
    <n v="1995"/>
    <x v="0"/>
    <x v="198"/>
    <x v="0"/>
    <n v="2025"/>
    <x v="10"/>
    <n v="2.0873684210526299E-3"/>
    <s v="Low"/>
    <n v="2"/>
  </r>
  <r>
    <s v="ORD0200"/>
    <d v="2025-01-23T00:00:00"/>
    <s v="CUST043"/>
    <s v="Arjun Gupta"/>
    <x v="0"/>
    <x v="0"/>
    <s v="Accessories"/>
    <x v="1"/>
    <s v="Bengaluru"/>
    <s v="Karnataka"/>
    <n v="3"/>
    <n v="4320"/>
    <x v="3"/>
    <x v="199"/>
    <x v="2"/>
    <n v="2025"/>
    <x v="9"/>
    <n v="7.5569444444444404E-4"/>
    <s v="Low"/>
    <n v="1"/>
  </r>
  <r>
    <s v="ORD0201"/>
    <d v="2025-04-04T00:00:00"/>
    <s v="CUST062"/>
    <s v="Kiran Nair"/>
    <x v="13"/>
    <x v="3"/>
    <s v="Office Supplies"/>
    <x v="3"/>
    <s v="Kolkata"/>
    <s v="West Bengal"/>
    <n v="2"/>
    <n v="500"/>
    <x v="2"/>
    <x v="200"/>
    <x v="3"/>
    <n v="2025"/>
    <x v="4"/>
    <n v="2.232E-3"/>
    <s v="Low"/>
    <n v="4"/>
  </r>
  <r>
    <s v="ORD0202"/>
    <d v="2025-01-23T00:00:00"/>
    <s v="CUST038"/>
    <s v="Varun Verma"/>
    <x v="11"/>
    <x v="0"/>
    <s v="Computers"/>
    <x v="1"/>
    <s v="Chennai"/>
    <s v="Tamil Nadu"/>
    <n v="2"/>
    <n v="29000"/>
    <x v="2"/>
    <x v="201"/>
    <x v="2"/>
    <n v="2025"/>
    <x v="9"/>
    <n v="1.43119310344828E-3"/>
    <s v="Low"/>
    <n v="1"/>
  </r>
  <r>
    <s v="ORD0203"/>
    <d v="2025-05-10T00:00:00"/>
    <s v="CUST070"/>
    <s v="Varun Kumar"/>
    <x v="6"/>
    <x v="1"/>
    <s v="Tables"/>
    <x v="2"/>
    <s v="Pune"/>
    <s v="Maharashtra"/>
    <n v="1"/>
    <n v="8400"/>
    <x v="1"/>
    <x v="202"/>
    <x v="3"/>
    <n v="2025"/>
    <x v="0"/>
    <n v="1.27921428571429E-3"/>
    <s v="Low"/>
    <n v="5"/>
  </r>
  <r>
    <s v="ORD0204"/>
    <d v="2025-03-05T00:00:00"/>
    <s v="CUST043"/>
    <s v="Arjun Gupta"/>
    <x v="8"/>
    <x v="0"/>
    <s v="Phones"/>
    <x v="1"/>
    <s v="Bengaluru"/>
    <s v="Karnataka"/>
    <n v="3"/>
    <n v="71400"/>
    <x v="5"/>
    <x v="203"/>
    <x v="2"/>
    <n v="2025"/>
    <x v="7"/>
    <n v="2.0002324929972001E-3"/>
    <s v="High"/>
    <n v="3"/>
  </r>
  <r>
    <s v="ORD0205"/>
    <d v="2025-09-12T00:00:00"/>
    <s v="CUST044"/>
    <s v="Priya Gupta"/>
    <x v="0"/>
    <x v="0"/>
    <s v="Accessories"/>
    <x v="2"/>
    <s v="Pune"/>
    <s v="Maharashtra"/>
    <n v="4"/>
    <n v="6480"/>
    <x v="4"/>
    <x v="204"/>
    <x v="3"/>
    <n v="2025"/>
    <x v="2"/>
    <n v="2.3187962962963001E-3"/>
    <s v="Low"/>
    <n v="9"/>
  </r>
  <r>
    <s v="ORD0206"/>
    <d v="2025-08-09T00:00:00"/>
    <s v="CUST055"/>
    <s v="Ananya Kumar"/>
    <x v="4"/>
    <x v="0"/>
    <s v="Accessories"/>
    <x v="0"/>
    <s v="Jaipur"/>
    <s v="Rajasthan"/>
    <n v="5"/>
    <n v="4200"/>
    <x v="1"/>
    <x v="205"/>
    <x v="3"/>
    <n v="2025"/>
    <x v="11"/>
    <n v="3.4059523809523798E-4"/>
    <s v="Low"/>
    <n v="8"/>
  </r>
  <r>
    <s v="ORD0207"/>
    <d v="2025-12-05T00:00:00"/>
    <s v="CUST011"/>
    <s v="Aditya Singh"/>
    <x v="14"/>
    <x v="0"/>
    <s v="Audio"/>
    <x v="1"/>
    <s v="Hyderabad"/>
    <s v="Telangana"/>
    <n v="3"/>
    <n v="8640"/>
    <x v="4"/>
    <x v="206"/>
    <x v="1"/>
    <n v="2025"/>
    <x v="8"/>
    <n v="1.3124189814814799E-3"/>
    <s v="Low"/>
    <n v="12"/>
  </r>
  <r>
    <s v="ORD0208"/>
    <d v="2025-08-17T00:00:00"/>
    <s v="CUST057"/>
    <s v="Rahul Gupta"/>
    <x v="14"/>
    <x v="0"/>
    <s v="Audio"/>
    <x v="1"/>
    <s v="Hyderabad"/>
    <s v="Telangana"/>
    <n v="1"/>
    <n v="2400"/>
    <x v="6"/>
    <x v="207"/>
    <x v="2"/>
    <n v="2025"/>
    <x v="11"/>
    <n v="1.8197083333333301E-3"/>
    <s v="Low"/>
    <n v="8"/>
  </r>
  <r>
    <s v="ORD0209"/>
    <d v="2025-01-30T00:00:00"/>
    <s v="CUST036"/>
    <s v="Pooja Iyer"/>
    <x v="13"/>
    <x v="3"/>
    <s v="Office Supplies"/>
    <x v="0"/>
    <s v="Gurugram"/>
    <s v="Haryana"/>
    <n v="1"/>
    <n v="187.5"/>
    <x v="6"/>
    <x v="208"/>
    <x v="1"/>
    <n v="2025"/>
    <x v="9"/>
    <n v="1.34773333333333E-3"/>
    <s v="Low"/>
    <n v="1"/>
  </r>
  <r>
    <s v="ORD0210"/>
    <d v="2025-11-08T00:00:00"/>
    <s v="CUST004"/>
    <s v="Akash Rao"/>
    <x v="0"/>
    <x v="0"/>
    <s v="Accessories"/>
    <x v="1"/>
    <s v="Bengaluru"/>
    <s v="Karnataka"/>
    <n v="4"/>
    <n v="7200"/>
    <x v="2"/>
    <x v="209"/>
    <x v="4"/>
    <n v="2025"/>
    <x v="1"/>
    <n v="1.0524583333333299E-3"/>
    <s v="Low"/>
    <n v="11"/>
  </r>
  <r>
    <s v="ORD0211"/>
    <d v="2025-10-18T00:00:00"/>
    <s v="CUST047"/>
    <s v="Aarav Singh"/>
    <x v="2"/>
    <x v="1"/>
    <s v="Chairs"/>
    <x v="2"/>
    <s v="Ahmedabad"/>
    <s v="Gujarat"/>
    <n v="1"/>
    <n v="6800"/>
    <x v="3"/>
    <x v="210"/>
    <x v="4"/>
    <n v="2025"/>
    <x v="6"/>
    <n v="4.8191176470588202E-4"/>
    <s v="Low"/>
    <n v="10"/>
  </r>
  <r>
    <s v="ORD0212"/>
    <d v="2025-02-09T00:00:00"/>
    <s v="CUST048"/>
    <s v="Sneha Gupta"/>
    <x v="6"/>
    <x v="1"/>
    <s v="Tables"/>
    <x v="1"/>
    <s v="Chennai"/>
    <s v="Tamil Nadu"/>
    <n v="5"/>
    <n v="57000"/>
    <x v="0"/>
    <x v="211"/>
    <x v="4"/>
    <n v="2025"/>
    <x v="10"/>
    <n v="1.7091649122807E-3"/>
    <s v="High"/>
    <n v="2"/>
  </r>
  <r>
    <s v="ORD0213"/>
    <d v="2025-01-14T00:00:00"/>
    <s v="CUST032"/>
    <s v="Vikram Verma"/>
    <x v="4"/>
    <x v="0"/>
    <s v="Accessories"/>
    <x v="0"/>
    <s v="Gurugram"/>
    <s v="Haryana"/>
    <n v="2"/>
    <n v="2040"/>
    <x v="5"/>
    <x v="212"/>
    <x v="3"/>
    <n v="2025"/>
    <x v="9"/>
    <n v="1.1928921568627501E-3"/>
    <s v="Low"/>
    <n v="1"/>
  </r>
  <r>
    <s v="ORD0214"/>
    <d v="2025-05-14T00:00:00"/>
    <s v="CUST034"/>
    <s v="Rohan Kumar"/>
    <x v="9"/>
    <x v="2"/>
    <s v="Travel"/>
    <x v="2"/>
    <s v="Ahmedabad"/>
    <s v="Gujarat"/>
    <n v="4"/>
    <n v="2660"/>
    <x v="0"/>
    <x v="213"/>
    <x v="2"/>
    <n v="2025"/>
    <x v="0"/>
    <n v="2.6570300751879699E-3"/>
    <s v="Low"/>
    <n v="5"/>
  </r>
  <r>
    <s v="ORD0215"/>
    <d v="2025-03-11T00:00:00"/>
    <s v="CUST026"/>
    <s v="Kavya Patel"/>
    <x v="4"/>
    <x v="0"/>
    <s v="Accessories"/>
    <x v="3"/>
    <s v="Kolkata"/>
    <s v="West Bengal"/>
    <n v="1"/>
    <n v="1020"/>
    <x v="5"/>
    <x v="214"/>
    <x v="3"/>
    <n v="2025"/>
    <x v="7"/>
    <n v="5.7784313725490197E-4"/>
    <s v="Low"/>
    <n v="3"/>
  </r>
  <r>
    <s v="ORD0216"/>
    <d v="2025-06-27T00:00:00"/>
    <s v="CUST041"/>
    <s v="Rahul Rao"/>
    <x v="13"/>
    <x v="3"/>
    <s v="Office Supplies"/>
    <x v="0"/>
    <s v="Gurugram"/>
    <s v="Haryana"/>
    <n v="1"/>
    <n v="200"/>
    <x v="3"/>
    <x v="215"/>
    <x v="1"/>
    <n v="2025"/>
    <x v="5"/>
    <n v="1.0384999999999999E-3"/>
    <s v="Low"/>
    <n v="6"/>
  </r>
  <r>
    <s v="ORD0217"/>
    <d v="2025-07-05T00:00:00"/>
    <s v="CUST023"/>
    <s v="Sneha Nair"/>
    <x v="9"/>
    <x v="2"/>
    <s v="Travel"/>
    <x v="0"/>
    <s v="Delhi"/>
    <s v="Delhi"/>
    <n v="5"/>
    <n v="3325"/>
    <x v="0"/>
    <x v="216"/>
    <x v="1"/>
    <n v="2025"/>
    <x v="3"/>
    <n v="9.1759398496240598E-4"/>
    <s v="Low"/>
    <n v="7"/>
  </r>
  <r>
    <s v="ORD0218"/>
    <d v="2025-09-10T00:00:00"/>
    <s v="CUST031"/>
    <s v="Vikram Iyer"/>
    <x v="9"/>
    <x v="2"/>
    <s v="Travel"/>
    <x v="0"/>
    <s v="Delhi"/>
    <s v="Delhi"/>
    <n v="1"/>
    <n v="630"/>
    <x v="4"/>
    <x v="217"/>
    <x v="0"/>
    <n v="2025"/>
    <x v="2"/>
    <n v="1.61587301587302E-3"/>
    <s v="Low"/>
    <n v="9"/>
  </r>
  <r>
    <s v="ORD0219"/>
    <d v="2025-02-14T00:00:00"/>
    <s v="CUST017"/>
    <s v="Rahul Gupta"/>
    <x v="5"/>
    <x v="3"/>
    <s v="Office Supplies"/>
    <x v="2"/>
    <s v="Pune"/>
    <s v="Maharashtra"/>
    <n v="1"/>
    <n v="162"/>
    <x v="4"/>
    <x v="218"/>
    <x v="2"/>
    <n v="2025"/>
    <x v="10"/>
    <n v="1.21728395061728E-3"/>
    <s v="Low"/>
    <n v="2"/>
  </r>
  <r>
    <s v="ORD0220"/>
    <d v="2025-07-29T00:00:00"/>
    <s v="CUST068"/>
    <s v="Ananya Kumar"/>
    <x v="2"/>
    <x v="1"/>
    <s v="Chairs"/>
    <x v="1"/>
    <s v="Chennai"/>
    <s v="Tamil Nadu"/>
    <n v="5"/>
    <n v="42500"/>
    <x v="2"/>
    <x v="219"/>
    <x v="3"/>
    <n v="2025"/>
    <x v="3"/>
    <n v="1.0506541176470601E-3"/>
    <s v="High"/>
    <n v="7"/>
  </r>
  <r>
    <s v="ORD0221"/>
    <d v="2025-12-15T00:00:00"/>
    <s v="CUST058"/>
    <s v="Rohan Verma"/>
    <x v="6"/>
    <x v="1"/>
    <s v="Tables"/>
    <x v="2"/>
    <s v="Ahmedabad"/>
    <s v="Gujarat"/>
    <n v="5"/>
    <n v="54000"/>
    <x v="4"/>
    <x v="220"/>
    <x v="0"/>
    <n v="2025"/>
    <x v="8"/>
    <n v="6.4940555555555602E-4"/>
    <s v="High"/>
    <n v="12"/>
  </r>
  <r>
    <s v="ORD0222"/>
    <d v="2025-03-08T00:00:00"/>
    <s v="CUST076"/>
    <s v="Pooja Rao"/>
    <x v="0"/>
    <x v="0"/>
    <s v="Accessories"/>
    <x v="3"/>
    <s v="Kolkata"/>
    <s v="West Bengal"/>
    <n v="4"/>
    <n v="5760"/>
    <x v="3"/>
    <x v="221"/>
    <x v="3"/>
    <n v="2025"/>
    <x v="7"/>
    <n v="2.1937152777777801E-3"/>
    <s v="Low"/>
    <n v="3"/>
  </r>
  <r>
    <s v="ORD0223"/>
    <d v="2025-06-05T00:00:00"/>
    <s v="CUST067"/>
    <s v="Kavya Sharma"/>
    <x v="0"/>
    <x v="0"/>
    <s v="Accessories"/>
    <x v="1"/>
    <s v="Chennai"/>
    <s v="Tamil Nadu"/>
    <n v="2"/>
    <n v="3420"/>
    <x v="0"/>
    <x v="222"/>
    <x v="4"/>
    <n v="2025"/>
    <x v="5"/>
    <n v="1.25666666666667E-3"/>
    <s v="Low"/>
    <n v="6"/>
  </r>
  <r>
    <s v="ORD0224"/>
    <d v="2025-05-26T00:00:00"/>
    <s v="CUST067"/>
    <s v="Kavya Sharma"/>
    <x v="7"/>
    <x v="0"/>
    <s v="Accessories"/>
    <x v="1"/>
    <s v="Chennai"/>
    <s v="Tamil Nadu"/>
    <n v="1"/>
    <n v="405"/>
    <x v="4"/>
    <x v="223"/>
    <x v="4"/>
    <n v="2025"/>
    <x v="0"/>
    <n v="7.5358024691357997E-4"/>
    <s v="Low"/>
    <n v="5"/>
  </r>
  <r>
    <s v="ORD0225"/>
    <d v="2025-06-05T00:00:00"/>
    <s v="CUST017"/>
    <s v="Rahul Gupta"/>
    <x v="13"/>
    <x v="3"/>
    <s v="Office Supplies"/>
    <x v="2"/>
    <s v="Pune"/>
    <s v="Maharashtra"/>
    <n v="5"/>
    <n v="1000"/>
    <x v="3"/>
    <x v="224"/>
    <x v="0"/>
    <n v="2025"/>
    <x v="5"/>
    <n v="2.6640000000000002E-4"/>
    <s v="Low"/>
    <n v="6"/>
  </r>
  <r>
    <s v="ORD0226"/>
    <d v="2025-03-29T00:00:00"/>
    <s v="CUST075"/>
    <s v="Priya Rao"/>
    <x v="0"/>
    <x v="0"/>
    <s v="Accessories"/>
    <x v="0"/>
    <s v="Delhi"/>
    <s v="Delhi"/>
    <n v="5"/>
    <n v="6750"/>
    <x v="6"/>
    <x v="225"/>
    <x v="0"/>
    <n v="2025"/>
    <x v="7"/>
    <n v="1.89299259259259E-3"/>
    <s v="Low"/>
    <n v="3"/>
  </r>
  <r>
    <s v="ORD0227"/>
    <d v="2025-01-15T00:00:00"/>
    <s v="CUST006"/>
    <s v="Kavya Gupta"/>
    <x v="12"/>
    <x v="0"/>
    <s v="Office Equipment"/>
    <x v="0"/>
    <s v="Jaipur"/>
    <s v="Rajasthan"/>
    <n v="1"/>
    <n v="11500"/>
    <x v="2"/>
    <x v="226"/>
    <x v="4"/>
    <n v="2025"/>
    <x v="9"/>
    <n v="2.69709565217391E-3"/>
    <s v="Low"/>
    <n v="1"/>
  </r>
  <r>
    <s v="ORD0228"/>
    <d v="2025-10-20T00:00:00"/>
    <s v="CUST027"/>
    <s v="Kiran Singh"/>
    <x v="9"/>
    <x v="2"/>
    <s v="Travel"/>
    <x v="2"/>
    <s v="Ahmedabad"/>
    <s v="Gujarat"/>
    <n v="4"/>
    <n v="2240"/>
    <x v="3"/>
    <x v="227"/>
    <x v="0"/>
    <n v="2025"/>
    <x v="6"/>
    <n v="1.4289732142857101E-3"/>
    <s v="Low"/>
    <n v="10"/>
  </r>
  <r>
    <s v="ORD0229"/>
    <d v="2025-06-04T00:00:00"/>
    <s v="CUST038"/>
    <s v="Varun Verma"/>
    <x v="13"/>
    <x v="3"/>
    <s v="Office Supplies"/>
    <x v="1"/>
    <s v="Chennai"/>
    <s v="Tamil Nadu"/>
    <n v="4"/>
    <n v="950"/>
    <x v="0"/>
    <x v="228"/>
    <x v="4"/>
    <n v="2025"/>
    <x v="5"/>
    <n v="2.2237894736842098E-3"/>
    <s v="Low"/>
    <n v="6"/>
  </r>
  <r>
    <s v="ORD0230"/>
    <d v="2025-12-19T00:00:00"/>
    <s v="CUST059"/>
    <s v="Sneha Singh"/>
    <x v="4"/>
    <x v="0"/>
    <s v="Accessories"/>
    <x v="2"/>
    <s v="Ahmedabad"/>
    <s v="Gujarat"/>
    <n v="1"/>
    <n v="1140"/>
    <x v="0"/>
    <x v="229"/>
    <x v="1"/>
    <n v="2025"/>
    <x v="8"/>
    <n v="1.5186842105263201E-3"/>
    <s v="Low"/>
    <n v="12"/>
  </r>
  <r>
    <s v="ORD0231"/>
    <d v="2025-03-15T00:00:00"/>
    <s v="CUST044"/>
    <s v="Priya Gupta"/>
    <x v="5"/>
    <x v="3"/>
    <s v="Office Supplies"/>
    <x v="2"/>
    <s v="Pune"/>
    <s v="Maharashtra"/>
    <n v="3"/>
    <n v="378"/>
    <x v="1"/>
    <x v="230"/>
    <x v="4"/>
    <n v="2025"/>
    <x v="7"/>
    <n v="1.08597883597884E-3"/>
    <s v="Low"/>
    <n v="3"/>
  </r>
  <r>
    <s v="ORD0232"/>
    <d v="2025-07-09T00:00:00"/>
    <s v="CUST052"/>
    <s v="Aarav Iyer"/>
    <x v="0"/>
    <x v="0"/>
    <s v="Accessories"/>
    <x v="0"/>
    <s v="Delhi"/>
    <s v="Delhi"/>
    <n v="5"/>
    <n v="7200"/>
    <x v="3"/>
    <x v="231"/>
    <x v="3"/>
    <n v="2025"/>
    <x v="3"/>
    <n v="4.9149999999999997E-4"/>
    <s v="Low"/>
    <n v="7"/>
  </r>
  <r>
    <s v="ORD0233"/>
    <d v="2025-05-07T00:00:00"/>
    <s v="CUST035"/>
    <s v="Isha Singh"/>
    <x v="6"/>
    <x v="1"/>
    <s v="Tables"/>
    <x v="0"/>
    <s v="Jaipur"/>
    <s v="Rajasthan"/>
    <n v="2"/>
    <n v="24000"/>
    <x v="2"/>
    <x v="232"/>
    <x v="0"/>
    <n v="2025"/>
    <x v="0"/>
    <n v="9.0121250000000004E-4"/>
    <s v="Low"/>
    <n v="5"/>
  </r>
  <r>
    <s v="ORD0234"/>
    <d v="2025-03-23T00:00:00"/>
    <s v="CUST054"/>
    <s v="Meera Singh"/>
    <x v="11"/>
    <x v="0"/>
    <s v="Computers"/>
    <x v="2"/>
    <s v="Mumbai"/>
    <s v="Maharashtra"/>
    <n v="3"/>
    <n v="34800"/>
    <x v="3"/>
    <x v="233"/>
    <x v="1"/>
    <n v="2025"/>
    <x v="7"/>
    <n v="1.74733908045977E-3"/>
    <s v="High"/>
    <n v="3"/>
  </r>
  <r>
    <s v="ORD0235"/>
    <d v="2025-08-28T00:00:00"/>
    <s v="CUST064"/>
    <s v="Kavya Kumar"/>
    <x v="10"/>
    <x v="1"/>
    <s v="Storage"/>
    <x v="1"/>
    <s v="Chennai"/>
    <s v="Tamil Nadu"/>
    <n v="4"/>
    <n v="23400"/>
    <x v="4"/>
    <x v="234"/>
    <x v="2"/>
    <n v="2025"/>
    <x v="11"/>
    <n v="1.5722264957264999E-3"/>
    <s v="Low"/>
    <n v="8"/>
  </r>
  <r>
    <s v="ORD0236"/>
    <d v="2025-05-04T00:00:00"/>
    <s v="CUST065"/>
    <s v="Aditya Sharma"/>
    <x v="6"/>
    <x v="1"/>
    <s v="Tables"/>
    <x v="0"/>
    <s v="Jaipur"/>
    <s v="Rajasthan"/>
    <n v="2"/>
    <n v="19200"/>
    <x v="3"/>
    <x v="235"/>
    <x v="2"/>
    <n v="2025"/>
    <x v="0"/>
    <n v="1.08052083333333E-3"/>
    <s v="Low"/>
    <n v="5"/>
  </r>
  <r>
    <s v="ORD0237"/>
    <d v="2025-12-01T00:00:00"/>
    <s v="CUST077"/>
    <s v="Ananya Reddy"/>
    <x v="7"/>
    <x v="0"/>
    <s v="Accessories"/>
    <x v="1"/>
    <s v="Bengaluru"/>
    <s v="Karnataka"/>
    <n v="4"/>
    <n v="1620"/>
    <x v="4"/>
    <x v="236"/>
    <x v="2"/>
    <n v="2025"/>
    <x v="8"/>
    <n v="1.4616049382716E-3"/>
    <s v="Low"/>
    <n v="12"/>
  </r>
  <r>
    <s v="ORD0238"/>
    <d v="2025-05-16T00:00:00"/>
    <s v="CUST018"/>
    <s v="Shreya Nair"/>
    <x v="7"/>
    <x v="0"/>
    <s v="Accessories"/>
    <x v="0"/>
    <s v="Jaipur"/>
    <s v="Rajasthan"/>
    <n v="3"/>
    <n v="945"/>
    <x v="1"/>
    <x v="237"/>
    <x v="3"/>
    <n v="2025"/>
    <x v="0"/>
    <n v="9.7259259259259196E-4"/>
    <s v="Low"/>
    <n v="5"/>
  </r>
  <r>
    <s v="ORD0239"/>
    <d v="2025-04-10T00:00:00"/>
    <s v="CUST073"/>
    <s v="Divya Kumar"/>
    <x v="10"/>
    <x v="1"/>
    <s v="Storage"/>
    <x v="3"/>
    <s v="Kolkata"/>
    <s v="West Bengal"/>
    <n v="3"/>
    <n v="15600"/>
    <x v="3"/>
    <x v="238"/>
    <x v="2"/>
    <n v="2025"/>
    <x v="4"/>
    <n v="7.8403205128205102E-4"/>
    <s v="Low"/>
    <n v="4"/>
  </r>
  <r>
    <s v="ORD0240"/>
    <d v="2025-11-16T00:00:00"/>
    <s v="CUST071"/>
    <s v="Divya Kumar"/>
    <x v="8"/>
    <x v="0"/>
    <s v="Phones"/>
    <x v="2"/>
    <s v="Ahmedabad"/>
    <s v="Gujarat"/>
    <n v="5"/>
    <n v="140000"/>
    <x v="2"/>
    <x v="239"/>
    <x v="4"/>
    <n v="2025"/>
    <x v="1"/>
    <n v="1.05732642857143E-3"/>
    <s v="High"/>
    <n v="11"/>
  </r>
  <r>
    <s v="ORD0241"/>
    <d v="2025-07-07T00:00:00"/>
    <s v="CUST044"/>
    <s v="Priya Gupta"/>
    <x v="10"/>
    <x v="1"/>
    <s v="Storage"/>
    <x v="2"/>
    <s v="Pune"/>
    <s v="Maharashtra"/>
    <n v="2"/>
    <n v="12350"/>
    <x v="0"/>
    <x v="240"/>
    <x v="3"/>
    <n v="2025"/>
    <x v="3"/>
    <n v="1.8547530364372499E-3"/>
    <s v="Low"/>
    <n v="7"/>
  </r>
  <r>
    <s v="ORD0242"/>
    <d v="2025-03-12T00:00:00"/>
    <s v="CUST006"/>
    <s v="Kavya Gupta"/>
    <x v="1"/>
    <x v="0"/>
    <s v="Computers"/>
    <x v="0"/>
    <s v="Jaipur"/>
    <s v="Rajasthan"/>
    <n v="3"/>
    <n v="115500"/>
    <x v="1"/>
    <x v="241"/>
    <x v="0"/>
    <n v="2025"/>
    <x v="7"/>
    <n v="8.0474718614718596E-4"/>
    <s v="High"/>
    <n v="3"/>
  </r>
  <r>
    <s v="ORD0243"/>
    <d v="2025-06-17T00:00:00"/>
    <s v="CUST066"/>
    <s v="Isha Kumar"/>
    <x v="0"/>
    <x v="0"/>
    <s v="Accessories"/>
    <x v="0"/>
    <s v="Jaipur"/>
    <s v="Rajasthan"/>
    <n v="5"/>
    <n v="8100"/>
    <x v="4"/>
    <x v="242"/>
    <x v="4"/>
    <n v="2025"/>
    <x v="5"/>
    <n v="6.7734567901234601E-4"/>
    <s v="Low"/>
    <n v="6"/>
  </r>
  <r>
    <s v="ORD0244"/>
    <d v="2025-09-17T00:00:00"/>
    <s v="CUST076"/>
    <s v="Pooja Rao"/>
    <x v="14"/>
    <x v="0"/>
    <s v="Audio"/>
    <x v="3"/>
    <s v="Kolkata"/>
    <s v="West Bengal"/>
    <n v="5"/>
    <n v="12800"/>
    <x v="3"/>
    <x v="243"/>
    <x v="2"/>
    <n v="2025"/>
    <x v="2"/>
    <n v="1.098234375E-3"/>
    <s v="Low"/>
    <n v="9"/>
  </r>
  <r>
    <s v="ORD0245"/>
    <d v="2025-06-19T00:00:00"/>
    <s v="CUST003"/>
    <s v="Priya Gupta"/>
    <x v="14"/>
    <x v="0"/>
    <s v="Audio"/>
    <x v="1"/>
    <s v="Chennai"/>
    <s v="Tamil Nadu"/>
    <n v="1"/>
    <n v="2720"/>
    <x v="5"/>
    <x v="244"/>
    <x v="3"/>
    <n v="2025"/>
    <x v="5"/>
    <n v="1.3686029411764701E-3"/>
    <s v="Low"/>
    <n v="6"/>
  </r>
  <r>
    <s v="ORD0246"/>
    <d v="2025-05-16T00:00:00"/>
    <s v="CUST077"/>
    <s v="Ananya Reddy"/>
    <x v="6"/>
    <x v="1"/>
    <s v="Tables"/>
    <x v="1"/>
    <s v="Bengaluru"/>
    <s v="Karnataka"/>
    <n v="5"/>
    <n v="48000"/>
    <x v="3"/>
    <x v="245"/>
    <x v="2"/>
    <n v="2025"/>
    <x v="0"/>
    <n v="8.2940833333333295E-4"/>
    <s v="High"/>
    <n v="5"/>
  </r>
  <r>
    <s v="ORD0247"/>
    <d v="2025-11-19T00:00:00"/>
    <s v="CUST022"/>
    <s v="Arjun Verma"/>
    <x v="10"/>
    <x v="1"/>
    <s v="Storage"/>
    <x v="0"/>
    <s v="Delhi"/>
    <s v="Delhi"/>
    <n v="5"/>
    <n v="22750"/>
    <x v="1"/>
    <x v="246"/>
    <x v="1"/>
    <n v="2025"/>
    <x v="1"/>
    <n v="1.7715032967033E-3"/>
    <s v="Low"/>
    <n v="11"/>
  </r>
  <r>
    <s v="ORD0248"/>
    <d v="2025-12-25T00:00:00"/>
    <s v="CUST005"/>
    <s v="Aarav Reddy"/>
    <x v="5"/>
    <x v="3"/>
    <s v="Office Supplies"/>
    <x v="2"/>
    <s v="Mumbai"/>
    <s v="Maharashtra"/>
    <n v="1"/>
    <n v="171"/>
    <x v="0"/>
    <x v="247"/>
    <x v="1"/>
    <n v="2025"/>
    <x v="8"/>
    <n v="6.9883040935672495E-4"/>
    <s v="Low"/>
    <n v="12"/>
  </r>
  <r>
    <s v="ORD0249"/>
    <d v="2025-04-15T00:00:00"/>
    <s v="CUST053"/>
    <s v="Divya Sharma"/>
    <x v="3"/>
    <x v="2"/>
    <s v="Travel"/>
    <x v="1"/>
    <s v="Chennai"/>
    <s v="Tamil Nadu"/>
    <n v="4"/>
    <n v="5120"/>
    <x v="3"/>
    <x v="248"/>
    <x v="3"/>
    <n v="2025"/>
    <x v="4"/>
    <n v="1.4896874999999999E-3"/>
    <s v="Low"/>
    <n v="4"/>
  </r>
  <r>
    <s v="ORD0250"/>
    <d v="2025-04-17T00:00:00"/>
    <s v="CUST018"/>
    <s v="Shreya Nair"/>
    <x v="10"/>
    <x v="1"/>
    <s v="Storage"/>
    <x v="0"/>
    <s v="Jaipur"/>
    <s v="Rajasthan"/>
    <n v="5"/>
    <n v="29250"/>
    <x v="4"/>
    <x v="249"/>
    <x v="2"/>
    <n v="2025"/>
    <x v="4"/>
    <n v="2.4766529914529902E-3"/>
    <s v="Low"/>
    <n v="4"/>
  </r>
  <r>
    <s v="ORD0251"/>
    <d v="2025-08-24T00:00:00"/>
    <s v="CUST041"/>
    <s v="Rahul Rao"/>
    <x v="0"/>
    <x v="0"/>
    <s v="Accessories"/>
    <x v="0"/>
    <s v="Gurugram"/>
    <s v="Haryana"/>
    <n v="5"/>
    <n v="8100"/>
    <x v="4"/>
    <x v="250"/>
    <x v="4"/>
    <n v="2025"/>
    <x v="11"/>
    <n v="1.5235802469135799E-3"/>
    <s v="Low"/>
    <n v="8"/>
  </r>
  <r>
    <s v="ORD0252"/>
    <d v="2025-04-09T00:00:00"/>
    <s v="CUST079"/>
    <s v="Kavya Kumar"/>
    <x v="6"/>
    <x v="1"/>
    <s v="Tables"/>
    <x v="2"/>
    <s v="Mumbai"/>
    <s v="Maharashtra"/>
    <n v="2"/>
    <n v="21600"/>
    <x v="4"/>
    <x v="251"/>
    <x v="4"/>
    <n v="2025"/>
    <x v="4"/>
    <n v="1.6599583333333299E-3"/>
    <s v="Low"/>
    <n v="4"/>
  </r>
  <r>
    <s v="ORD0253"/>
    <d v="2025-04-17T00:00:00"/>
    <s v="CUST037"/>
    <s v="Meera Kumar"/>
    <x v="3"/>
    <x v="2"/>
    <s v="Travel"/>
    <x v="1"/>
    <s v="Hyderabad"/>
    <s v="Telangana"/>
    <n v="4"/>
    <n v="5760"/>
    <x v="4"/>
    <x v="252"/>
    <x v="4"/>
    <n v="2025"/>
    <x v="4"/>
    <n v="1.41947916666667E-3"/>
    <s v="Low"/>
    <n v="4"/>
  </r>
  <r>
    <s v="ORD0254"/>
    <d v="2025-10-21T00:00:00"/>
    <s v="CUST037"/>
    <s v="Meera Kumar"/>
    <x v="4"/>
    <x v="0"/>
    <s v="Accessories"/>
    <x v="1"/>
    <s v="Hyderabad"/>
    <s v="Telangana"/>
    <n v="5"/>
    <n v="5100"/>
    <x v="5"/>
    <x v="253"/>
    <x v="4"/>
    <n v="2025"/>
    <x v="6"/>
    <n v="2.1435686274509798E-3"/>
    <s v="Low"/>
    <n v="10"/>
  </r>
  <r>
    <s v="ORD0255"/>
    <d v="2025-01-22T00:00:00"/>
    <s v="CUST019"/>
    <s v="Vikram Reddy"/>
    <x v="8"/>
    <x v="0"/>
    <s v="Phones"/>
    <x v="1"/>
    <s v="Bengaluru"/>
    <s v="Karnataka"/>
    <n v="3"/>
    <n v="63000"/>
    <x v="6"/>
    <x v="254"/>
    <x v="4"/>
    <n v="2025"/>
    <x v="9"/>
    <n v="-1.19447619047619E-4"/>
    <s v="High"/>
    <n v="1"/>
  </r>
  <r>
    <s v="ORD0256"/>
    <d v="2025-04-14T00:00:00"/>
    <s v="CUST062"/>
    <s v="Kiran Nair"/>
    <x v="11"/>
    <x v="0"/>
    <s v="Computers"/>
    <x v="3"/>
    <s v="Kolkata"/>
    <s v="West Bengal"/>
    <n v="5"/>
    <n v="65250"/>
    <x v="4"/>
    <x v="255"/>
    <x v="1"/>
    <n v="2025"/>
    <x v="4"/>
    <n v="2.2920045977011501E-3"/>
    <s v="High"/>
    <n v="4"/>
  </r>
  <r>
    <s v="ORD0257"/>
    <d v="2025-10-28T00:00:00"/>
    <s v="CUST014"/>
    <s v="Meera Nair"/>
    <x v="5"/>
    <x v="3"/>
    <s v="Office Supplies"/>
    <x v="0"/>
    <s v="Jaipur"/>
    <s v="Rajasthan"/>
    <n v="2"/>
    <n v="342"/>
    <x v="0"/>
    <x v="256"/>
    <x v="1"/>
    <n v="2025"/>
    <x v="6"/>
    <n v="6.8830409356725099E-4"/>
    <s v="Low"/>
    <n v="10"/>
  </r>
  <r>
    <s v="ORD0258"/>
    <d v="2025-02-21T00:00:00"/>
    <s v="CUST030"/>
    <s v="Kiran Singh"/>
    <x v="1"/>
    <x v="0"/>
    <s v="Computers"/>
    <x v="1"/>
    <s v="Chennai"/>
    <s v="Tamil Nadu"/>
    <n v="4"/>
    <n v="198000"/>
    <x v="4"/>
    <x v="257"/>
    <x v="1"/>
    <n v="2025"/>
    <x v="10"/>
    <n v="2.0095797979797999E-3"/>
    <s v="High"/>
    <n v="2"/>
  </r>
  <r>
    <s v="ORD0259"/>
    <d v="2025-03-22T00:00:00"/>
    <s v="CUST001"/>
    <s v="Priya Sharma"/>
    <x v="10"/>
    <x v="1"/>
    <s v="Storage"/>
    <x v="2"/>
    <s v="Pune"/>
    <s v="Maharashtra"/>
    <n v="4"/>
    <n v="19500"/>
    <x v="6"/>
    <x v="258"/>
    <x v="2"/>
    <n v="2025"/>
    <x v="7"/>
    <n v="1.62106666666667E-3"/>
    <s v="Low"/>
    <n v="3"/>
  </r>
  <r>
    <s v="ORD0260"/>
    <d v="2025-05-28T00:00:00"/>
    <s v="CUST026"/>
    <s v="Kavya Patel"/>
    <x v="9"/>
    <x v="2"/>
    <s v="Travel"/>
    <x v="3"/>
    <s v="Kolkata"/>
    <s v="West Bengal"/>
    <n v="3"/>
    <n v="1890"/>
    <x v="4"/>
    <x v="259"/>
    <x v="3"/>
    <n v="2025"/>
    <x v="0"/>
    <n v="1.6648148148148099E-3"/>
    <s v="Low"/>
    <n v="5"/>
  </r>
  <r>
    <s v="ORD0261"/>
    <d v="2025-10-01T00:00:00"/>
    <s v="CUST074"/>
    <s v="Pooja Kumar"/>
    <x v="11"/>
    <x v="0"/>
    <s v="Computers"/>
    <x v="1"/>
    <s v="Chennai"/>
    <s v="Tamil Nadu"/>
    <n v="1"/>
    <n v="13775"/>
    <x v="0"/>
    <x v="260"/>
    <x v="3"/>
    <n v="2025"/>
    <x v="6"/>
    <n v="1.4310707803992699E-3"/>
    <s v="Low"/>
    <n v="10"/>
  </r>
  <r>
    <s v="ORD0262"/>
    <d v="2025-09-11T00:00:00"/>
    <s v="CUST051"/>
    <s v="Sneha Gupta"/>
    <x v="9"/>
    <x v="2"/>
    <s v="Travel"/>
    <x v="2"/>
    <s v="Ahmedabad"/>
    <s v="Gujarat"/>
    <n v="2"/>
    <n v="1050"/>
    <x v="6"/>
    <x v="261"/>
    <x v="3"/>
    <n v="2025"/>
    <x v="2"/>
    <n v="1.64552380952381E-3"/>
    <s v="Low"/>
    <n v="9"/>
  </r>
  <r>
    <s v="ORD0263"/>
    <d v="2025-10-18T00:00:00"/>
    <s v="CUST002"/>
    <s v="Kavya Kumar"/>
    <x v="8"/>
    <x v="0"/>
    <s v="Phones"/>
    <x v="1"/>
    <s v="Hyderabad"/>
    <s v="Telangana"/>
    <n v="5"/>
    <n v="140000"/>
    <x v="2"/>
    <x v="262"/>
    <x v="2"/>
    <n v="2025"/>
    <x v="6"/>
    <n v="2.6569100000000002E-3"/>
    <s v="High"/>
    <n v="10"/>
  </r>
  <r>
    <s v="ORD0264"/>
    <d v="2025-09-10T00:00:00"/>
    <s v="CUST070"/>
    <s v="Varun Kumar"/>
    <x v="10"/>
    <x v="1"/>
    <s v="Storage"/>
    <x v="2"/>
    <s v="Pune"/>
    <s v="Maharashtra"/>
    <n v="2"/>
    <n v="9100"/>
    <x v="1"/>
    <x v="263"/>
    <x v="3"/>
    <n v="2025"/>
    <x v="2"/>
    <n v="1.0038021978022E-3"/>
    <s v="Low"/>
    <n v="9"/>
  </r>
  <r>
    <s v="ORD0265"/>
    <d v="2025-08-23T00:00:00"/>
    <s v="CUST043"/>
    <s v="Arjun Gupta"/>
    <x v="0"/>
    <x v="0"/>
    <s v="Accessories"/>
    <x v="1"/>
    <s v="Bengaluru"/>
    <s v="Karnataka"/>
    <n v="3"/>
    <n v="4050"/>
    <x v="6"/>
    <x v="264"/>
    <x v="4"/>
    <n v="2025"/>
    <x v="11"/>
    <n v="2.12E-4"/>
    <s v="Low"/>
    <n v="8"/>
  </r>
  <r>
    <s v="ORD0266"/>
    <d v="2025-04-09T00:00:00"/>
    <s v="CUST073"/>
    <s v="Divya Kumar"/>
    <x v="13"/>
    <x v="3"/>
    <s v="Office Supplies"/>
    <x v="3"/>
    <s v="Kolkata"/>
    <s v="West Bengal"/>
    <n v="2"/>
    <n v="400"/>
    <x v="3"/>
    <x v="265"/>
    <x v="2"/>
    <n v="2025"/>
    <x v="4"/>
    <n v="1.6637500000000001E-3"/>
    <s v="Low"/>
    <n v="4"/>
  </r>
  <r>
    <s v="ORD0267"/>
    <d v="2025-02-14T00:00:00"/>
    <s v="CUST066"/>
    <s v="Isha Kumar"/>
    <x v="14"/>
    <x v="0"/>
    <s v="Audio"/>
    <x v="0"/>
    <s v="Jaipur"/>
    <s v="Rajasthan"/>
    <n v="4"/>
    <n v="9600"/>
    <x v="6"/>
    <x v="266"/>
    <x v="2"/>
    <n v="2025"/>
    <x v="10"/>
    <n v="-1.2278125000000001E-4"/>
    <s v="Low"/>
    <n v="2"/>
  </r>
  <r>
    <s v="ORD0268"/>
    <d v="2025-05-08T00:00:00"/>
    <s v="CUST042"/>
    <s v="Shreya Verma"/>
    <x v="7"/>
    <x v="0"/>
    <s v="Accessories"/>
    <x v="2"/>
    <s v="Ahmedabad"/>
    <s v="Gujarat"/>
    <n v="1"/>
    <n v="405"/>
    <x v="4"/>
    <x v="267"/>
    <x v="4"/>
    <n v="2025"/>
    <x v="0"/>
    <n v="1.2555555555555601E-3"/>
    <s v="Low"/>
    <n v="5"/>
  </r>
  <r>
    <s v="ORD0269"/>
    <d v="2025-10-26T00:00:00"/>
    <s v="CUST043"/>
    <s v="Arjun Gupta"/>
    <x v="8"/>
    <x v="0"/>
    <s v="Phones"/>
    <x v="1"/>
    <s v="Bengaluru"/>
    <s v="Karnataka"/>
    <n v="5"/>
    <n v="140000"/>
    <x v="2"/>
    <x v="268"/>
    <x v="1"/>
    <n v="2025"/>
    <x v="6"/>
    <n v="1.32310642857143E-3"/>
    <s v="High"/>
    <n v="10"/>
  </r>
  <r>
    <s v="ORD0270"/>
    <d v="2025-03-02T00:00:00"/>
    <s v="CUST008"/>
    <s v="Isha Rao"/>
    <x v="13"/>
    <x v="3"/>
    <s v="Office Supplies"/>
    <x v="2"/>
    <s v="Mumbai"/>
    <s v="Maharashtra"/>
    <n v="4"/>
    <n v="900"/>
    <x v="4"/>
    <x v="269"/>
    <x v="4"/>
    <n v="2025"/>
    <x v="7"/>
    <n v="7.4788888888888897E-4"/>
    <s v="Low"/>
    <n v="3"/>
  </r>
  <r>
    <s v="ORD0271"/>
    <d v="2025-06-01T00:00:00"/>
    <s v="CUST016"/>
    <s v="Isha Reddy"/>
    <x v="13"/>
    <x v="3"/>
    <s v="Office Supplies"/>
    <x v="0"/>
    <s v="Gurugram"/>
    <s v="Haryana"/>
    <n v="3"/>
    <n v="600"/>
    <x v="3"/>
    <x v="270"/>
    <x v="2"/>
    <n v="2025"/>
    <x v="5"/>
    <n v="3.6299999999999999E-4"/>
    <s v="Low"/>
    <n v="6"/>
  </r>
  <r>
    <s v="ORD0272"/>
    <d v="2025-11-07T00:00:00"/>
    <s v="CUST020"/>
    <s v="Kavya Singh"/>
    <x v="6"/>
    <x v="1"/>
    <s v="Tables"/>
    <x v="1"/>
    <s v="Chennai"/>
    <s v="Tamil Nadu"/>
    <n v="3"/>
    <n v="30600"/>
    <x v="5"/>
    <x v="271"/>
    <x v="0"/>
    <n v="2025"/>
    <x v="1"/>
    <n v="1.56158169934641E-3"/>
    <s v="High"/>
    <n v="11"/>
  </r>
  <r>
    <s v="ORD0273"/>
    <d v="2025-05-07T00:00:00"/>
    <s v="CUST028"/>
    <s v="Kavya Nair"/>
    <x v="9"/>
    <x v="2"/>
    <s v="Travel"/>
    <x v="1"/>
    <s v="Bengaluru"/>
    <s v="Karnataka"/>
    <n v="5"/>
    <n v="2450"/>
    <x v="1"/>
    <x v="272"/>
    <x v="0"/>
    <n v="2025"/>
    <x v="0"/>
    <n v="1.38061224489796E-3"/>
    <s v="Low"/>
    <n v="5"/>
  </r>
  <r>
    <s v="ORD0274"/>
    <d v="2025-10-16T00:00:00"/>
    <s v="CUST047"/>
    <s v="Aarav Singh"/>
    <x v="4"/>
    <x v="0"/>
    <s v="Accessories"/>
    <x v="2"/>
    <s v="Ahmedabad"/>
    <s v="Gujarat"/>
    <n v="1"/>
    <n v="1200"/>
    <x v="2"/>
    <x v="273"/>
    <x v="1"/>
    <n v="2025"/>
    <x v="6"/>
    <n v="2.4575833333333299E-3"/>
    <s v="Low"/>
    <n v="10"/>
  </r>
  <r>
    <s v="ORD0275"/>
    <d v="2025-03-18T00:00:00"/>
    <s v="CUST074"/>
    <s v="Pooja Kumar"/>
    <x v="10"/>
    <x v="1"/>
    <s v="Storage"/>
    <x v="1"/>
    <s v="Chennai"/>
    <s v="Tamil Nadu"/>
    <n v="2"/>
    <n v="11700"/>
    <x v="4"/>
    <x v="274"/>
    <x v="1"/>
    <n v="2025"/>
    <x v="7"/>
    <n v="2.1985128205128201E-3"/>
    <s v="Low"/>
    <n v="3"/>
  </r>
  <r>
    <s v="ORD0276"/>
    <d v="2025-02-16T00:00:00"/>
    <s v="CUST075"/>
    <s v="Priya Rao"/>
    <x v="6"/>
    <x v="1"/>
    <s v="Tables"/>
    <x v="0"/>
    <s v="Delhi"/>
    <s v="Delhi"/>
    <n v="5"/>
    <n v="51000"/>
    <x v="5"/>
    <x v="275"/>
    <x v="0"/>
    <n v="2025"/>
    <x v="10"/>
    <n v="1.9473470588235299E-3"/>
    <s v="High"/>
    <n v="2"/>
  </r>
  <r>
    <s v="ORD0277"/>
    <d v="2025-10-16T00:00:00"/>
    <s v="CUST054"/>
    <s v="Meera Singh"/>
    <x v="6"/>
    <x v="1"/>
    <s v="Tables"/>
    <x v="2"/>
    <s v="Mumbai"/>
    <s v="Maharashtra"/>
    <n v="1"/>
    <n v="9600"/>
    <x v="3"/>
    <x v="276"/>
    <x v="3"/>
    <n v="2025"/>
    <x v="6"/>
    <n v="9.21302083333333E-4"/>
    <s v="Low"/>
    <n v="10"/>
  </r>
  <r>
    <s v="ORD0278"/>
    <d v="2025-01-02T00:00:00"/>
    <s v="CUST051"/>
    <s v="Sneha Gupta"/>
    <x v="8"/>
    <x v="0"/>
    <s v="Phones"/>
    <x v="2"/>
    <s v="Ahmedabad"/>
    <s v="Gujarat"/>
    <n v="2"/>
    <n v="44800"/>
    <x v="3"/>
    <x v="277"/>
    <x v="3"/>
    <n v="2025"/>
    <x v="9"/>
    <n v="3.3420982142857102E-4"/>
    <s v="High"/>
    <n v="1"/>
  </r>
  <r>
    <s v="ORD0279"/>
    <d v="2025-02-05T00:00:00"/>
    <s v="CUST070"/>
    <s v="Varun Kumar"/>
    <x v="1"/>
    <x v="0"/>
    <s v="Computers"/>
    <x v="2"/>
    <s v="Pune"/>
    <s v="Maharashtra"/>
    <n v="4"/>
    <n v="220000"/>
    <x v="2"/>
    <x v="278"/>
    <x v="1"/>
    <n v="2025"/>
    <x v="10"/>
    <n v="1.3741813636363601E-3"/>
    <s v="High"/>
    <n v="2"/>
  </r>
  <r>
    <s v="ORD0280"/>
    <d v="2025-07-15T00:00:00"/>
    <s v="CUST054"/>
    <s v="Meera Singh"/>
    <x v="14"/>
    <x v="0"/>
    <s v="Audio"/>
    <x v="2"/>
    <s v="Mumbai"/>
    <s v="Maharashtra"/>
    <n v="4"/>
    <n v="8960"/>
    <x v="1"/>
    <x v="279"/>
    <x v="3"/>
    <n v="2025"/>
    <x v="3"/>
    <n v="1.7511049107142901E-3"/>
    <s v="Low"/>
    <n v="7"/>
  </r>
  <r>
    <s v="ORD0281"/>
    <d v="2025-12-01T00:00:00"/>
    <s v="CUST070"/>
    <s v="Varun Kumar"/>
    <x v="0"/>
    <x v="0"/>
    <s v="Accessories"/>
    <x v="2"/>
    <s v="Pune"/>
    <s v="Maharashtra"/>
    <n v="3"/>
    <n v="5400"/>
    <x v="2"/>
    <x v="280"/>
    <x v="0"/>
    <n v="2025"/>
    <x v="8"/>
    <n v="1.15694444444444E-3"/>
    <s v="Low"/>
    <n v="12"/>
  </r>
  <r>
    <s v="ORD0282"/>
    <d v="2025-04-25T00:00:00"/>
    <s v="CUST017"/>
    <s v="Rahul Gupta"/>
    <x v="3"/>
    <x v="2"/>
    <s v="Travel"/>
    <x v="2"/>
    <s v="Pune"/>
    <s v="Maharashtra"/>
    <n v="1"/>
    <n v="1120"/>
    <x v="1"/>
    <x v="281"/>
    <x v="0"/>
    <n v="2025"/>
    <x v="4"/>
    <n v="2.16964285714286E-5"/>
    <s v="Low"/>
    <n v="4"/>
  </r>
  <r>
    <s v="ORD0283"/>
    <d v="2025-07-14T00:00:00"/>
    <s v="CUST055"/>
    <s v="Ananya Kumar"/>
    <x v="10"/>
    <x v="1"/>
    <s v="Storage"/>
    <x v="0"/>
    <s v="Jaipur"/>
    <s v="Rajasthan"/>
    <n v="2"/>
    <n v="12350"/>
    <x v="0"/>
    <x v="282"/>
    <x v="1"/>
    <n v="2025"/>
    <x v="3"/>
    <n v="1.6018623481781401E-3"/>
    <s v="Low"/>
    <n v="7"/>
  </r>
  <r>
    <s v="ORD0284"/>
    <d v="2025-12-05T00:00:00"/>
    <s v="CUST015"/>
    <s v="Arjun Sharma"/>
    <x v="1"/>
    <x v="0"/>
    <s v="Computers"/>
    <x v="3"/>
    <s v="Kolkata"/>
    <s v="West Bengal"/>
    <n v="4"/>
    <n v="176000"/>
    <x v="3"/>
    <x v="283"/>
    <x v="3"/>
    <n v="2025"/>
    <x v="8"/>
    <n v="1.4902284090909099E-3"/>
    <s v="High"/>
    <n v="12"/>
  </r>
  <r>
    <s v="ORD0285"/>
    <d v="2025-02-04T00:00:00"/>
    <s v="CUST031"/>
    <s v="Vikram Iyer"/>
    <x v="11"/>
    <x v="0"/>
    <s v="Computers"/>
    <x v="0"/>
    <s v="Delhi"/>
    <s v="Delhi"/>
    <n v="1"/>
    <n v="11600"/>
    <x v="3"/>
    <x v="284"/>
    <x v="3"/>
    <n v="2025"/>
    <x v="10"/>
    <n v="1.6825862068965499E-4"/>
    <s v="Low"/>
    <n v="2"/>
  </r>
  <r>
    <s v="ORD0286"/>
    <d v="2025-01-23T00:00:00"/>
    <s v="CUST032"/>
    <s v="Vikram Verma"/>
    <x v="3"/>
    <x v="2"/>
    <s v="Travel"/>
    <x v="0"/>
    <s v="Gurugram"/>
    <s v="Haryana"/>
    <n v="4"/>
    <n v="5440"/>
    <x v="5"/>
    <x v="285"/>
    <x v="3"/>
    <n v="2025"/>
    <x v="9"/>
    <n v="8.87205882352941E-4"/>
    <s v="Low"/>
    <n v="1"/>
  </r>
  <r>
    <s v="ORD0287"/>
    <d v="2025-05-29T00:00:00"/>
    <s v="CUST018"/>
    <s v="Shreya Nair"/>
    <x v="10"/>
    <x v="1"/>
    <s v="Storage"/>
    <x v="0"/>
    <s v="Jaipur"/>
    <s v="Rajasthan"/>
    <n v="2"/>
    <n v="9100"/>
    <x v="1"/>
    <x v="286"/>
    <x v="0"/>
    <n v="2025"/>
    <x v="0"/>
    <n v="1.6007142857142899E-3"/>
    <s v="Low"/>
    <n v="5"/>
  </r>
  <r>
    <s v="ORD0288"/>
    <d v="2025-12-11T00:00:00"/>
    <s v="CUST077"/>
    <s v="Ananya Reddy"/>
    <x v="9"/>
    <x v="2"/>
    <s v="Travel"/>
    <x v="1"/>
    <s v="Bengaluru"/>
    <s v="Karnataka"/>
    <n v="3"/>
    <n v="1995"/>
    <x v="0"/>
    <x v="287"/>
    <x v="0"/>
    <n v="2025"/>
    <x v="8"/>
    <n v="1.2856140350877201E-3"/>
    <s v="Low"/>
    <n v="12"/>
  </r>
  <r>
    <s v="ORD0289"/>
    <d v="2025-06-03T00:00:00"/>
    <s v="CUST029"/>
    <s v="Kavya Sharma"/>
    <x v="2"/>
    <x v="1"/>
    <s v="Chairs"/>
    <x v="0"/>
    <s v="Delhi"/>
    <s v="Delhi"/>
    <n v="3"/>
    <n v="25500"/>
    <x v="2"/>
    <x v="288"/>
    <x v="1"/>
    <n v="2025"/>
    <x v="5"/>
    <n v="1.9134352941176499E-3"/>
    <s v="Low"/>
    <n v="6"/>
  </r>
  <r>
    <s v="ORD0290"/>
    <d v="2025-09-11T00:00:00"/>
    <s v="CUST055"/>
    <s v="Ananya Kumar"/>
    <x v="10"/>
    <x v="1"/>
    <s v="Storage"/>
    <x v="0"/>
    <s v="Jaipur"/>
    <s v="Rajasthan"/>
    <n v="1"/>
    <n v="5850"/>
    <x v="4"/>
    <x v="289"/>
    <x v="0"/>
    <n v="2025"/>
    <x v="2"/>
    <n v="2.3153333333333298E-3"/>
    <s v="Low"/>
    <n v="9"/>
  </r>
  <r>
    <s v="ORD0291"/>
    <d v="2025-08-02T00:00:00"/>
    <s v="CUST041"/>
    <s v="Rahul Rao"/>
    <x v="3"/>
    <x v="2"/>
    <s v="Travel"/>
    <x v="0"/>
    <s v="Gurugram"/>
    <s v="Haryana"/>
    <n v="4"/>
    <n v="6080"/>
    <x v="0"/>
    <x v="290"/>
    <x v="0"/>
    <n v="2025"/>
    <x v="11"/>
    <n v="1.2767927631578901E-3"/>
    <s v="Low"/>
    <n v="8"/>
  </r>
  <r>
    <s v="ORD0292"/>
    <d v="2025-04-26T00:00:00"/>
    <s v="CUST061"/>
    <s v="Isha Kumar"/>
    <x v="11"/>
    <x v="0"/>
    <s v="Computers"/>
    <x v="2"/>
    <s v="Pune"/>
    <s v="Maharashtra"/>
    <n v="3"/>
    <n v="30450"/>
    <x v="1"/>
    <x v="291"/>
    <x v="3"/>
    <n v="2025"/>
    <x v="4"/>
    <n v="1.0108210180624E-3"/>
    <s v="High"/>
    <n v="4"/>
  </r>
  <r>
    <s v="ORD0293"/>
    <d v="2025-08-02T00:00:00"/>
    <s v="CUST072"/>
    <s v="Rohan Iyer"/>
    <x v="2"/>
    <x v="1"/>
    <s v="Chairs"/>
    <x v="0"/>
    <s v="Jaipur"/>
    <s v="Rajasthan"/>
    <n v="5"/>
    <n v="34000"/>
    <x v="3"/>
    <x v="292"/>
    <x v="1"/>
    <n v="2025"/>
    <x v="11"/>
    <n v="5.4675588235294104E-4"/>
    <s v="High"/>
    <n v="8"/>
  </r>
  <r>
    <s v="ORD0294"/>
    <d v="2025-02-10T00:00:00"/>
    <s v="CUST043"/>
    <s v="Arjun Gupta"/>
    <x v="13"/>
    <x v="3"/>
    <s v="Office Supplies"/>
    <x v="1"/>
    <s v="Bengaluru"/>
    <s v="Karnataka"/>
    <n v="4"/>
    <n v="700"/>
    <x v="1"/>
    <x v="293"/>
    <x v="1"/>
    <n v="2025"/>
    <x v="10"/>
    <n v="5.4042857142857104E-4"/>
    <s v="Low"/>
    <n v="2"/>
  </r>
  <r>
    <s v="ORD0295"/>
    <d v="2025-07-13T00:00:00"/>
    <s v="CUST007"/>
    <s v="Aarav Gupta"/>
    <x v="8"/>
    <x v="0"/>
    <s v="Phones"/>
    <x v="2"/>
    <s v="Mumbai"/>
    <s v="Maharashtra"/>
    <n v="5"/>
    <n v="112000"/>
    <x v="3"/>
    <x v="294"/>
    <x v="0"/>
    <n v="2025"/>
    <x v="3"/>
    <n v="4.4270267857142898E-4"/>
    <s v="High"/>
    <n v="7"/>
  </r>
  <r>
    <s v="ORD0296"/>
    <d v="2025-09-03T00:00:00"/>
    <s v="CUST072"/>
    <s v="Rohan Iyer"/>
    <x v="11"/>
    <x v="0"/>
    <s v="Computers"/>
    <x v="0"/>
    <s v="Jaipur"/>
    <s v="Rajasthan"/>
    <n v="2"/>
    <n v="20300"/>
    <x v="1"/>
    <x v="295"/>
    <x v="3"/>
    <n v="2025"/>
    <x v="2"/>
    <n v="1.7866748768472899E-3"/>
    <s v="Low"/>
    <n v="9"/>
  </r>
  <r>
    <s v="ORD0297"/>
    <d v="2025-04-08T00:00:00"/>
    <s v="CUST028"/>
    <s v="Kavya Nair"/>
    <x v="7"/>
    <x v="0"/>
    <s v="Accessories"/>
    <x v="1"/>
    <s v="Bengaluru"/>
    <s v="Karnataka"/>
    <n v="1"/>
    <n v="337.5"/>
    <x v="6"/>
    <x v="296"/>
    <x v="1"/>
    <n v="2025"/>
    <x v="4"/>
    <n v="1.9997037037037002E-3"/>
    <s v="Low"/>
    <n v="4"/>
  </r>
  <r>
    <s v="ORD0298"/>
    <d v="2025-04-15T00:00:00"/>
    <s v="CUST078"/>
    <s v="Kiran Nair"/>
    <x v="3"/>
    <x v="2"/>
    <s v="Travel"/>
    <x v="1"/>
    <s v="Chennai"/>
    <s v="Tamil Nadu"/>
    <n v="4"/>
    <n v="6080"/>
    <x v="0"/>
    <x v="297"/>
    <x v="2"/>
    <n v="2025"/>
    <x v="4"/>
    <n v="1.70722039473684E-3"/>
    <s v="Low"/>
    <n v="4"/>
  </r>
  <r>
    <s v="ORD0299"/>
    <d v="2025-11-29T00:00:00"/>
    <s v="CUST060"/>
    <s v="Shreya Rao"/>
    <x v="10"/>
    <x v="1"/>
    <s v="Storage"/>
    <x v="2"/>
    <s v="Mumbai"/>
    <s v="Maharashtra"/>
    <n v="3"/>
    <n v="17550"/>
    <x v="4"/>
    <x v="298"/>
    <x v="2"/>
    <n v="2025"/>
    <x v="1"/>
    <n v="9.9491737891737892E-4"/>
    <s v="Low"/>
    <n v="11"/>
  </r>
  <r>
    <s v="ORD0300"/>
    <d v="2025-08-29T00:00:00"/>
    <s v="CUST060"/>
    <s v="Shreya Rao"/>
    <x v="4"/>
    <x v="0"/>
    <s v="Accessories"/>
    <x v="2"/>
    <s v="Mumbai"/>
    <s v="Maharashtra"/>
    <n v="3"/>
    <n v="3420"/>
    <x v="0"/>
    <x v="299"/>
    <x v="0"/>
    <n v="2025"/>
    <x v="11"/>
    <n v="1.3896783625730999E-3"/>
    <s v="Low"/>
    <n v="8"/>
  </r>
  <r>
    <s v="ORD0301"/>
    <d v="2025-03-16T00:00:00"/>
    <s v="CUST029"/>
    <s v="Kavya Sharma"/>
    <x v="3"/>
    <x v="2"/>
    <s v="Travel"/>
    <x v="0"/>
    <s v="Delhi"/>
    <s v="Delhi"/>
    <n v="1"/>
    <n v="1440"/>
    <x v="4"/>
    <x v="300"/>
    <x v="2"/>
    <n v="2025"/>
    <x v="7"/>
    <n v="1.5606249999999999E-3"/>
    <s v="Low"/>
    <n v="3"/>
  </r>
  <r>
    <s v="ORD0302"/>
    <d v="2025-04-11T00:00:00"/>
    <s v="CUST038"/>
    <s v="Varun Verma"/>
    <x v="0"/>
    <x v="0"/>
    <s v="Accessories"/>
    <x v="1"/>
    <s v="Chennai"/>
    <s v="Tamil Nadu"/>
    <n v="3"/>
    <n v="5130"/>
    <x v="0"/>
    <x v="301"/>
    <x v="2"/>
    <n v="2025"/>
    <x v="4"/>
    <n v="1.35551656920078E-3"/>
    <s v="Low"/>
    <n v="4"/>
  </r>
  <r>
    <s v="ORD0303"/>
    <d v="2025-12-17T00:00:00"/>
    <s v="CUST071"/>
    <s v="Divya Kumar"/>
    <x v="13"/>
    <x v="3"/>
    <s v="Office Supplies"/>
    <x v="2"/>
    <s v="Ahmedabad"/>
    <s v="Gujarat"/>
    <n v="3"/>
    <n v="675"/>
    <x v="4"/>
    <x v="302"/>
    <x v="2"/>
    <n v="2025"/>
    <x v="8"/>
    <n v="2.0045925925925899E-3"/>
    <s v="Low"/>
    <n v="12"/>
  </r>
  <r>
    <s v="ORD0304"/>
    <d v="2025-06-30T00:00:00"/>
    <s v="CUST059"/>
    <s v="Sneha Singh"/>
    <x v="0"/>
    <x v="0"/>
    <s v="Accessories"/>
    <x v="2"/>
    <s v="Ahmedabad"/>
    <s v="Gujarat"/>
    <n v="2"/>
    <n v="3420"/>
    <x v="0"/>
    <x v="303"/>
    <x v="0"/>
    <n v="2025"/>
    <x v="5"/>
    <n v="2.0795906432748501E-3"/>
    <s v="Low"/>
    <n v="6"/>
  </r>
  <r>
    <s v="ORD0305"/>
    <d v="2025-01-18T00:00:00"/>
    <s v="CUST008"/>
    <s v="Isha Rao"/>
    <x v="10"/>
    <x v="1"/>
    <s v="Storage"/>
    <x v="2"/>
    <s v="Mumbai"/>
    <s v="Maharashtra"/>
    <n v="1"/>
    <n v="4550"/>
    <x v="1"/>
    <x v="304"/>
    <x v="2"/>
    <n v="2025"/>
    <x v="9"/>
    <n v="9.6318681318681302E-4"/>
    <s v="Low"/>
    <n v="1"/>
  </r>
  <r>
    <s v="ORD0306"/>
    <d v="2025-11-19T00:00:00"/>
    <s v="CUST018"/>
    <s v="Shreya Nair"/>
    <x v="12"/>
    <x v="0"/>
    <s v="Office Equipment"/>
    <x v="0"/>
    <s v="Jaipur"/>
    <s v="Rajasthan"/>
    <n v="2"/>
    <n v="23000"/>
    <x v="2"/>
    <x v="305"/>
    <x v="0"/>
    <n v="2025"/>
    <x v="1"/>
    <n v="2.2143391304347798E-3"/>
    <s v="Low"/>
    <n v="11"/>
  </r>
  <r>
    <s v="ORD0307"/>
    <d v="2025-01-31T00:00:00"/>
    <s v="CUST059"/>
    <s v="Sneha Singh"/>
    <x v="14"/>
    <x v="0"/>
    <s v="Audio"/>
    <x v="2"/>
    <s v="Ahmedabad"/>
    <s v="Gujarat"/>
    <n v="5"/>
    <n v="12000"/>
    <x v="6"/>
    <x v="306"/>
    <x v="2"/>
    <n v="2025"/>
    <x v="9"/>
    <n v="1.2481833333333301E-3"/>
    <s v="Low"/>
    <n v="1"/>
  </r>
  <r>
    <s v="ORD0308"/>
    <d v="2025-01-04T00:00:00"/>
    <s v="CUST063"/>
    <s v="Varun Verma"/>
    <x v="1"/>
    <x v="0"/>
    <s v="Computers"/>
    <x v="1"/>
    <s v="Chennai"/>
    <s v="Tamil Nadu"/>
    <n v="5"/>
    <n v="220000"/>
    <x v="3"/>
    <x v="307"/>
    <x v="4"/>
    <n v="2025"/>
    <x v="9"/>
    <n v="1.2143140909090899E-3"/>
    <s v="High"/>
    <n v="1"/>
  </r>
  <r>
    <s v="ORD0309"/>
    <d v="2025-01-09T00:00:00"/>
    <s v="CUST069"/>
    <s v="Ananya Nair"/>
    <x v="8"/>
    <x v="0"/>
    <s v="Phones"/>
    <x v="1"/>
    <s v="Chennai"/>
    <s v="Tamil Nadu"/>
    <n v="5"/>
    <n v="98000"/>
    <x v="1"/>
    <x v="308"/>
    <x v="1"/>
    <n v="2025"/>
    <x v="9"/>
    <n v="1.27278775510204E-3"/>
    <s v="High"/>
    <n v="1"/>
  </r>
  <r>
    <s v="ORD0310"/>
    <d v="2025-02-19T00:00:00"/>
    <s v="CUST014"/>
    <s v="Meera Nair"/>
    <x v="7"/>
    <x v="0"/>
    <s v="Accessories"/>
    <x v="0"/>
    <s v="Jaipur"/>
    <s v="Rajasthan"/>
    <n v="5"/>
    <n v="2137.5"/>
    <x v="0"/>
    <x v="309"/>
    <x v="4"/>
    <n v="2025"/>
    <x v="10"/>
    <n v="1.10446783625731E-3"/>
    <s v="Low"/>
    <n v="2"/>
  </r>
  <r>
    <s v="ORD0311"/>
    <d v="2025-07-23T00:00:00"/>
    <s v="CUST046"/>
    <s v="Pooja Patel"/>
    <x v="8"/>
    <x v="0"/>
    <s v="Phones"/>
    <x v="3"/>
    <s v="Kolkata"/>
    <s v="West Bengal"/>
    <n v="1"/>
    <n v="25200"/>
    <x v="4"/>
    <x v="310"/>
    <x v="1"/>
    <n v="2025"/>
    <x v="3"/>
    <n v="2.4038452380952401E-3"/>
    <s v="Low"/>
    <n v="7"/>
  </r>
  <r>
    <s v="ORD0312"/>
    <d v="2025-12-17T00:00:00"/>
    <s v="CUST029"/>
    <s v="Kavya Sharma"/>
    <x v="8"/>
    <x v="0"/>
    <s v="Phones"/>
    <x v="0"/>
    <s v="Delhi"/>
    <s v="Delhi"/>
    <n v="1"/>
    <n v="21000"/>
    <x v="6"/>
    <x v="311"/>
    <x v="3"/>
    <n v="2025"/>
    <x v="8"/>
    <n v="1.87716666666667E-3"/>
    <s v="Low"/>
    <n v="12"/>
  </r>
  <r>
    <s v="ORD0313"/>
    <d v="2025-07-14T00:00:00"/>
    <s v="CUST012"/>
    <s v="Vikram Nair"/>
    <x v="2"/>
    <x v="1"/>
    <s v="Chairs"/>
    <x v="1"/>
    <s v="Chennai"/>
    <s v="Tamil Nadu"/>
    <n v="4"/>
    <n v="27200"/>
    <x v="3"/>
    <x v="312"/>
    <x v="1"/>
    <n v="2025"/>
    <x v="3"/>
    <n v="1.03363602941176E-3"/>
    <s v="Low"/>
    <n v="7"/>
  </r>
  <r>
    <s v="ORD0314"/>
    <d v="2025-08-11T00:00:00"/>
    <s v="CUST011"/>
    <s v="Aditya Singh"/>
    <x v="6"/>
    <x v="1"/>
    <s v="Tables"/>
    <x v="1"/>
    <s v="Hyderabad"/>
    <s v="Telangana"/>
    <n v="3"/>
    <n v="28800"/>
    <x v="3"/>
    <x v="313"/>
    <x v="0"/>
    <n v="2025"/>
    <x v="11"/>
    <n v="1.86773958333333E-3"/>
    <s v="Low"/>
    <n v="8"/>
  </r>
  <r>
    <s v="ORD0315"/>
    <d v="2025-04-19T00:00:00"/>
    <s v="CUST006"/>
    <s v="Kavya Gupta"/>
    <x v="11"/>
    <x v="0"/>
    <s v="Computers"/>
    <x v="0"/>
    <s v="Jaipur"/>
    <s v="Rajasthan"/>
    <n v="5"/>
    <n v="61625"/>
    <x v="5"/>
    <x v="314"/>
    <x v="4"/>
    <n v="2025"/>
    <x v="4"/>
    <n v="6.9563002028397603E-4"/>
    <s v="High"/>
    <n v="4"/>
  </r>
  <r>
    <s v="ORD0316"/>
    <d v="2025-12-03T00:00:00"/>
    <s v="CUST070"/>
    <s v="Varun Kumar"/>
    <x v="5"/>
    <x v="3"/>
    <s v="Office Supplies"/>
    <x v="2"/>
    <s v="Pune"/>
    <s v="Maharashtra"/>
    <n v="1"/>
    <n v="171"/>
    <x v="0"/>
    <x v="315"/>
    <x v="1"/>
    <n v="2025"/>
    <x v="8"/>
    <n v="2.51812865497076E-3"/>
    <s v="Low"/>
    <n v="12"/>
  </r>
  <r>
    <s v="ORD0317"/>
    <d v="2025-12-31T00:00:00"/>
    <s v="CUST076"/>
    <s v="Pooja Rao"/>
    <x v="0"/>
    <x v="0"/>
    <s v="Accessories"/>
    <x v="3"/>
    <s v="Kolkata"/>
    <s v="West Bengal"/>
    <n v="4"/>
    <n v="7200"/>
    <x v="2"/>
    <x v="316"/>
    <x v="0"/>
    <n v="2025"/>
    <x v="8"/>
    <n v="1.39855555555556E-3"/>
    <s v="Low"/>
    <n v="12"/>
  </r>
  <r>
    <s v="ORD0318"/>
    <d v="2025-10-04T00:00:00"/>
    <s v="CUST050"/>
    <s v="Vikram Patel"/>
    <x v="13"/>
    <x v="3"/>
    <s v="Office Supplies"/>
    <x v="0"/>
    <s v="Delhi"/>
    <s v="Delhi"/>
    <n v="3"/>
    <n v="637.5"/>
    <x v="5"/>
    <x v="317"/>
    <x v="3"/>
    <n v="2025"/>
    <x v="6"/>
    <n v="1.95874509803922E-3"/>
    <s v="Low"/>
    <n v="10"/>
  </r>
  <r>
    <s v="ORD0319"/>
    <d v="2025-06-27T00:00:00"/>
    <s v="CUST065"/>
    <s v="Aditya Sharma"/>
    <x v="3"/>
    <x v="2"/>
    <s v="Travel"/>
    <x v="0"/>
    <s v="Jaipur"/>
    <s v="Rajasthan"/>
    <n v="1"/>
    <n v="1600"/>
    <x v="2"/>
    <x v="318"/>
    <x v="4"/>
    <n v="2025"/>
    <x v="5"/>
    <n v="1.6741874999999999E-3"/>
    <s v="Low"/>
    <n v="6"/>
  </r>
  <r>
    <s v="ORD0320"/>
    <d v="2025-11-11T00:00:00"/>
    <s v="CUST078"/>
    <s v="Kiran Nair"/>
    <x v="9"/>
    <x v="2"/>
    <s v="Travel"/>
    <x v="1"/>
    <s v="Chennai"/>
    <s v="Tamil Nadu"/>
    <n v="5"/>
    <n v="2975"/>
    <x v="5"/>
    <x v="319"/>
    <x v="4"/>
    <n v="2025"/>
    <x v="1"/>
    <n v="2.3154621848739498E-3"/>
    <s v="Low"/>
    <n v="11"/>
  </r>
  <r>
    <s v="ORD0321"/>
    <d v="2025-04-27T00:00:00"/>
    <s v="CUST058"/>
    <s v="Rohan Verma"/>
    <x v="6"/>
    <x v="1"/>
    <s v="Tables"/>
    <x v="2"/>
    <s v="Ahmedabad"/>
    <s v="Gujarat"/>
    <n v="3"/>
    <n v="28800"/>
    <x v="3"/>
    <x v="320"/>
    <x v="0"/>
    <n v="2025"/>
    <x v="4"/>
    <n v="2.06636111111111E-3"/>
    <s v="Low"/>
    <n v="4"/>
  </r>
  <r>
    <s v="ORD0322"/>
    <d v="2025-11-13T00:00:00"/>
    <s v="CUST049"/>
    <s v="Neha Gupta"/>
    <x v="4"/>
    <x v="0"/>
    <s v="Accessories"/>
    <x v="0"/>
    <s v="Jaipur"/>
    <s v="Rajasthan"/>
    <n v="3"/>
    <n v="2520"/>
    <x v="1"/>
    <x v="321"/>
    <x v="4"/>
    <n v="2025"/>
    <x v="1"/>
    <n v="6.3777777777777802E-4"/>
    <s v="Low"/>
    <n v="11"/>
  </r>
  <r>
    <s v="ORD0323"/>
    <d v="2025-12-31T00:00:00"/>
    <s v="CUST020"/>
    <s v="Kavya Singh"/>
    <x v="2"/>
    <x v="1"/>
    <s v="Chairs"/>
    <x v="1"/>
    <s v="Chennai"/>
    <s v="Tamil Nadu"/>
    <n v="2"/>
    <n v="12750"/>
    <x v="6"/>
    <x v="322"/>
    <x v="3"/>
    <n v="2025"/>
    <x v="8"/>
    <n v="8.5380392156862695E-4"/>
    <s v="Low"/>
    <n v="12"/>
  </r>
  <r>
    <s v="ORD0324"/>
    <d v="2025-08-16T00:00:00"/>
    <s v="CUST001"/>
    <s v="Priya Sharma"/>
    <x v="8"/>
    <x v="0"/>
    <s v="Phones"/>
    <x v="2"/>
    <s v="Pune"/>
    <s v="Maharashtra"/>
    <n v="3"/>
    <n v="58800"/>
    <x v="1"/>
    <x v="323"/>
    <x v="1"/>
    <n v="2025"/>
    <x v="11"/>
    <n v="6.4015306122448996E-4"/>
    <s v="High"/>
    <n v="8"/>
  </r>
  <r>
    <s v="ORD0325"/>
    <d v="2025-10-13T00:00:00"/>
    <s v="CUST056"/>
    <s v="Rahul Reddy"/>
    <x v="6"/>
    <x v="1"/>
    <s v="Tables"/>
    <x v="3"/>
    <s v="Kolkata"/>
    <s v="West Bengal"/>
    <n v="5"/>
    <n v="48000"/>
    <x v="3"/>
    <x v="324"/>
    <x v="4"/>
    <n v="2025"/>
    <x v="6"/>
    <n v="1.20295833333333E-3"/>
    <s v="High"/>
    <n v="10"/>
  </r>
  <r>
    <s v="ORD0326"/>
    <d v="2025-11-02T00:00:00"/>
    <s v="CUST071"/>
    <s v="Divya Kumar"/>
    <x v="4"/>
    <x v="0"/>
    <s v="Accessories"/>
    <x v="2"/>
    <s v="Ahmedabad"/>
    <s v="Gujarat"/>
    <n v="5"/>
    <n v="4200"/>
    <x v="1"/>
    <x v="325"/>
    <x v="4"/>
    <n v="2025"/>
    <x v="1"/>
    <n v="5.5992857142857103E-4"/>
    <s v="Low"/>
    <n v="11"/>
  </r>
  <r>
    <s v="ORD0327"/>
    <d v="2025-02-13T00:00:00"/>
    <s v="CUST053"/>
    <s v="Divya Sharma"/>
    <x v="2"/>
    <x v="1"/>
    <s v="Chairs"/>
    <x v="1"/>
    <s v="Chennai"/>
    <s v="Tamil Nadu"/>
    <n v="5"/>
    <n v="40375"/>
    <x v="0"/>
    <x v="326"/>
    <x v="2"/>
    <n v="2025"/>
    <x v="10"/>
    <n v="1.8227219814241501E-3"/>
    <s v="High"/>
    <n v="2"/>
  </r>
  <r>
    <s v="ORD0328"/>
    <d v="2025-05-18T00:00:00"/>
    <s v="CUST022"/>
    <s v="Arjun Verma"/>
    <x v="0"/>
    <x v="0"/>
    <s v="Accessories"/>
    <x v="0"/>
    <s v="Delhi"/>
    <s v="Delhi"/>
    <n v="3"/>
    <n v="4860"/>
    <x v="4"/>
    <x v="327"/>
    <x v="2"/>
    <n v="2025"/>
    <x v="0"/>
    <n v="1.5704320987654299E-3"/>
    <s v="Low"/>
    <n v="5"/>
  </r>
  <r>
    <s v="ORD0329"/>
    <d v="2025-06-03T00:00:00"/>
    <s v="CUST036"/>
    <s v="Pooja Iyer"/>
    <x v="2"/>
    <x v="1"/>
    <s v="Chairs"/>
    <x v="0"/>
    <s v="Gurugram"/>
    <s v="Haryana"/>
    <n v="4"/>
    <n v="23800"/>
    <x v="1"/>
    <x v="328"/>
    <x v="1"/>
    <n v="2025"/>
    <x v="5"/>
    <n v="1.6506722689075599E-4"/>
    <s v="Low"/>
    <n v="6"/>
  </r>
  <r>
    <s v="ORD0330"/>
    <d v="2025-11-12T00:00:00"/>
    <s v="CUST064"/>
    <s v="Kavya Kumar"/>
    <x v="5"/>
    <x v="3"/>
    <s v="Office Supplies"/>
    <x v="1"/>
    <s v="Chennai"/>
    <s v="Tamil Nadu"/>
    <n v="2"/>
    <n v="306"/>
    <x v="5"/>
    <x v="329"/>
    <x v="2"/>
    <n v="2025"/>
    <x v="1"/>
    <n v="5.9967320261437905E-4"/>
    <s v="Low"/>
    <n v="11"/>
  </r>
  <r>
    <s v="ORD0331"/>
    <d v="2025-11-14T00:00:00"/>
    <s v="CUST043"/>
    <s v="Arjun Gupta"/>
    <x v="12"/>
    <x v="0"/>
    <s v="Office Equipment"/>
    <x v="1"/>
    <s v="Bengaluru"/>
    <s v="Karnataka"/>
    <n v="4"/>
    <n v="32200"/>
    <x v="1"/>
    <x v="330"/>
    <x v="2"/>
    <n v="2025"/>
    <x v="1"/>
    <n v="1.5942298136646001E-3"/>
    <s v="High"/>
    <n v="11"/>
  </r>
  <r>
    <s v="ORD0332"/>
    <d v="2025-06-03T00:00:00"/>
    <s v="CUST077"/>
    <s v="Ananya Reddy"/>
    <x v="0"/>
    <x v="0"/>
    <s v="Accessories"/>
    <x v="1"/>
    <s v="Bengaluru"/>
    <s v="Karnataka"/>
    <n v="3"/>
    <n v="4320"/>
    <x v="3"/>
    <x v="331"/>
    <x v="4"/>
    <n v="2025"/>
    <x v="5"/>
    <n v="2.1941435185185202E-3"/>
    <s v="Low"/>
    <n v="6"/>
  </r>
  <r>
    <s v="ORD0333"/>
    <d v="2025-06-13T00:00:00"/>
    <s v="CUST023"/>
    <s v="Sneha Nair"/>
    <x v="2"/>
    <x v="1"/>
    <s v="Chairs"/>
    <x v="0"/>
    <s v="Delhi"/>
    <s v="Delhi"/>
    <n v="3"/>
    <n v="19125"/>
    <x v="6"/>
    <x v="332"/>
    <x v="0"/>
    <n v="2025"/>
    <x v="5"/>
    <n v="1.38303790849673E-3"/>
    <s v="Low"/>
    <n v="6"/>
  </r>
  <r>
    <s v="ORD0334"/>
    <d v="2025-07-12T00:00:00"/>
    <s v="CUST032"/>
    <s v="Vikram Verma"/>
    <x v="14"/>
    <x v="0"/>
    <s v="Audio"/>
    <x v="0"/>
    <s v="Gurugram"/>
    <s v="Haryana"/>
    <n v="3"/>
    <n v="6720"/>
    <x v="1"/>
    <x v="333"/>
    <x v="0"/>
    <n v="2025"/>
    <x v="3"/>
    <n v="1.49797619047619E-3"/>
    <s v="Low"/>
    <n v="7"/>
  </r>
  <r>
    <s v="ORD0335"/>
    <d v="2025-10-07T00:00:00"/>
    <s v="CUST026"/>
    <s v="Kavya Patel"/>
    <x v="5"/>
    <x v="3"/>
    <s v="Office Supplies"/>
    <x v="3"/>
    <s v="Kolkata"/>
    <s v="West Bengal"/>
    <n v="2"/>
    <n v="270"/>
    <x v="6"/>
    <x v="334"/>
    <x v="2"/>
    <n v="2025"/>
    <x v="6"/>
    <n v="1.8185185185185201E-3"/>
    <s v="Low"/>
    <n v="10"/>
  </r>
  <r>
    <s v="ORD0336"/>
    <d v="2025-05-30T00:00:00"/>
    <s v="CUST027"/>
    <s v="Kiran Singh"/>
    <x v="6"/>
    <x v="1"/>
    <s v="Tables"/>
    <x v="2"/>
    <s v="Ahmedabad"/>
    <s v="Gujarat"/>
    <n v="1"/>
    <n v="8400"/>
    <x v="1"/>
    <x v="335"/>
    <x v="2"/>
    <n v="2025"/>
    <x v="0"/>
    <n v="1.2992857142857101E-3"/>
    <s v="Low"/>
    <n v="5"/>
  </r>
  <r>
    <s v="ORD0337"/>
    <d v="2025-06-05T00:00:00"/>
    <s v="CUST018"/>
    <s v="Shreya Nair"/>
    <x v="13"/>
    <x v="3"/>
    <s v="Office Supplies"/>
    <x v="0"/>
    <s v="Jaipur"/>
    <s v="Rajasthan"/>
    <n v="2"/>
    <n v="450"/>
    <x v="4"/>
    <x v="336"/>
    <x v="2"/>
    <n v="2025"/>
    <x v="5"/>
    <n v="1.73844444444444E-3"/>
    <s v="Low"/>
    <n v="6"/>
  </r>
  <r>
    <s v="ORD0338"/>
    <d v="2025-11-03T00:00:00"/>
    <s v="CUST010"/>
    <s v="Aarav Patel"/>
    <x v="6"/>
    <x v="1"/>
    <s v="Tables"/>
    <x v="0"/>
    <s v="Gurugram"/>
    <s v="Haryana"/>
    <n v="4"/>
    <n v="38400"/>
    <x v="3"/>
    <x v="337"/>
    <x v="2"/>
    <n v="2025"/>
    <x v="1"/>
    <n v="9.4830468750000004E-4"/>
    <s v="High"/>
    <n v="11"/>
  </r>
  <r>
    <s v="ORD0339"/>
    <d v="2025-07-04T00:00:00"/>
    <s v="CUST070"/>
    <s v="Varun Kumar"/>
    <x v="1"/>
    <x v="0"/>
    <s v="Computers"/>
    <x v="2"/>
    <s v="Pune"/>
    <s v="Maharashtra"/>
    <n v="5"/>
    <n v="220000"/>
    <x v="3"/>
    <x v="338"/>
    <x v="1"/>
    <n v="2025"/>
    <x v="3"/>
    <n v="1.63386954545455E-3"/>
    <s v="High"/>
    <n v="7"/>
  </r>
  <r>
    <s v="ORD0340"/>
    <d v="2025-11-28T00:00:00"/>
    <s v="CUST046"/>
    <s v="Pooja Patel"/>
    <x v="0"/>
    <x v="0"/>
    <s v="Accessories"/>
    <x v="3"/>
    <s v="Kolkata"/>
    <s v="West Bengal"/>
    <n v="5"/>
    <n v="9000"/>
    <x v="2"/>
    <x v="339"/>
    <x v="2"/>
    <n v="2025"/>
    <x v="1"/>
    <n v="1.92644444444444E-3"/>
    <s v="Low"/>
    <n v="11"/>
  </r>
  <r>
    <s v="ORD0341"/>
    <d v="2025-08-09T00:00:00"/>
    <s v="CUST043"/>
    <s v="Arjun Gupta"/>
    <x v="9"/>
    <x v="2"/>
    <s v="Travel"/>
    <x v="1"/>
    <s v="Bengaluru"/>
    <s v="Karnataka"/>
    <n v="1"/>
    <n v="700"/>
    <x v="2"/>
    <x v="340"/>
    <x v="0"/>
    <n v="2025"/>
    <x v="11"/>
    <n v="9.9714285714285703E-4"/>
    <s v="Low"/>
    <n v="8"/>
  </r>
  <r>
    <s v="ORD0342"/>
    <d v="2025-12-19T00:00:00"/>
    <s v="CUST072"/>
    <s v="Rohan Iyer"/>
    <x v="5"/>
    <x v="3"/>
    <s v="Office Supplies"/>
    <x v="0"/>
    <s v="Jaipur"/>
    <s v="Rajasthan"/>
    <n v="5"/>
    <n v="855"/>
    <x v="0"/>
    <x v="341"/>
    <x v="0"/>
    <n v="2025"/>
    <x v="8"/>
    <n v="1.54269005847953E-3"/>
    <s v="Low"/>
    <n v="12"/>
  </r>
  <r>
    <s v="ORD0343"/>
    <d v="2025-06-26T00:00:00"/>
    <s v="CUST065"/>
    <s v="Aditya Sharma"/>
    <x v="0"/>
    <x v="0"/>
    <s v="Accessories"/>
    <x v="0"/>
    <s v="Jaipur"/>
    <s v="Rajasthan"/>
    <n v="1"/>
    <n v="1530"/>
    <x v="5"/>
    <x v="342"/>
    <x v="3"/>
    <n v="2025"/>
    <x v="5"/>
    <n v="5.5313725490196096E-4"/>
    <s v="Low"/>
    <n v="6"/>
  </r>
  <r>
    <s v="ORD0344"/>
    <d v="2025-03-14T00:00:00"/>
    <s v="CUST015"/>
    <s v="Arjun Sharma"/>
    <x v="12"/>
    <x v="0"/>
    <s v="Office Equipment"/>
    <x v="3"/>
    <s v="Kolkata"/>
    <s v="West Bengal"/>
    <n v="3"/>
    <n v="31050"/>
    <x v="4"/>
    <x v="343"/>
    <x v="0"/>
    <n v="2025"/>
    <x v="7"/>
    <n v="1.09006441223833E-3"/>
    <s v="High"/>
    <n v="3"/>
  </r>
  <r>
    <s v="ORD0345"/>
    <d v="2025-09-01T00:00:00"/>
    <s v="CUST062"/>
    <s v="Kiran Nair"/>
    <x v="14"/>
    <x v="0"/>
    <s v="Audio"/>
    <x v="3"/>
    <s v="Kolkata"/>
    <s v="West Bengal"/>
    <n v="1"/>
    <n v="2720"/>
    <x v="5"/>
    <x v="344"/>
    <x v="3"/>
    <n v="2025"/>
    <x v="2"/>
    <n v="1.77433823529412E-3"/>
    <s v="Low"/>
    <n v="9"/>
  </r>
  <r>
    <s v="ORD0346"/>
    <d v="2025-12-30T00:00:00"/>
    <s v="CUST039"/>
    <s v="Ananya Reddy"/>
    <x v="1"/>
    <x v="0"/>
    <s v="Computers"/>
    <x v="1"/>
    <s v="Hyderabad"/>
    <s v="Telangana"/>
    <n v="1"/>
    <n v="55000"/>
    <x v="2"/>
    <x v="345"/>
    <x v="1"/>
    <n v="2025"/>
    <x v="8"/>
    <n v="2.4983599999999998E-3"/>
    <s v="High"/>
    <n v="12"/>
  </r>
  <r>
    <s v="ORD0347"/>
    <d v="2025-03-31T00:00:00"/>
    <s v="CUST032"/>
    <s v="Vikram Verma"/>
    <x v="10"/>
    <x v="1"/>
    <s v="Storage"/>
    <x v="0"/>
    <s v="Gurugram"/>
    <s v="Haryana"/>
    <n v="5"/>
    <n v="30875"/>
    <x v="0"/>
    <x v="346"/>
    <x v="2"/>
    <n v="2025"/>
    <x v="7"/>
    <n v="1.30868340080972E-3"/>
    <s v="High"/>
    <n v="3"/>
  </r>
  <r>
    <s v="ORD0348"/>
    <d v="2025-07-27T00:00:00"/>
    <s v="CUST030"/>
    <s v="Kiran Singh"/>
    <x v="9"/>
    <x v="2"/>
    <s v="Travel"/>
    <x v="1"/>
    <s v="Chennai"/>
    <s v="Tamil Nadu"/>
    <n v="2"/>
    <n v="1330"/>
    <x v="0"/>
    <x v="347"/>
    <x v="3"/>
    <n v="2025"/>
    <x v="3"/>
    <n v="1.92691729323308E-3"/>
    <s v="Low"/>
    <n v="7"/>
  </r>
  <r>
    <s v="ORD0349"/>
    <d v="2025-04-12T00:00:00"/>
    <s v="CUST079"/>
    <s v="Kavya Kumar"/>
    <x v="7"/>
    <x v="0"/>
    <s v="Accessories"/>
    <x v="2"/>
    <s v="Mumbai"/>
    <s v="Maharashtra"/>
    <n v="4"/>
    <n v="1440"/>
    <x v="3"/>
    <x v="348"/>
    <x v="1"/>
    <n v="2025"/>
    <x v="4"/>
    <n v="1.256875E-3"/>
    <s v="Low"/>
    <n v="4"/>
  </r>
  <r>
    <s v="ORD0350"/>
    <d v="2025-12-27T00:00:00"/>
    <s v="CUST027"/>
    <s v="Kiran Singh"/>
    <x v="8"/>
    <x v="0"/>
    <s v="Phones"/>
    <x v="2"/>
    <s v="Ahmedabad"/>
    <s v="Gujarat"/>
    <n v="1"/>
    <n v="22400"/>
    <x v="3"/>
    <x v="349"/>
    <x v="1"/>
    <n v="2025"/>
    <x v="8"/>
    <n v="1.67513392857143E-4"/>
    <s v="Low"/>
    <n v="12"/>
  </r>
  <r>
    <s v="ORD0351"/>
    <d v="2025-04-11T00:00:00"/>
    <s v="CUST047"/>
    <s v="Aarav Singh"/>
    <x v="14"/>
    <x v="0"/>
    <s v="Audio"/>
    <x v="2"/>
    <s v="Ahmedabad"/>
    <s v="Gujarat"/>
    <n v="4"/>
    <n v="12800"/>
    <x v="2"/>
    <x v="350"/>
    <x v="0"/>
    <n v="2025"/>
    <x v="4"/>
    <n v="1.3247031249999999E-3"/>
    <s v="Low"/>
    <n v="4"/>
  </r>
  <r>
    <s v="ORD0352"/>
    <d v="2025-07-18T00:00:00"/>
    <s v="CUST041"/>
    <s v="Rahul Rao"/>
    <x v="5"/>
    <x v="3"/>
    <s v="Office Supplies"/>
    <x v="0"/>
    <s v="Gurugram"/>
    <s v="Haryana"/>
    <n v="5"/>
    <n v="765"/>
    <x v="5"/>
    <x v="351"/>
    <x v="2"/>
    <n v="2025"/>
    <x v="3"/>
    <n v="1.5435294117647101E-3"/>
    <s v="Low"/>
    <n v="7"/>
  </r>
  <r>
    <s v="ORD0353"/>
    <d v="2025-12-11T00:00:00"/>
    <s v="CUST080"/>
    <s v="Isha Verma"/>
    <x v="0"/>
    <x v="0"/>
    <s v="Accessories"/>
    <x v="1"/>
    <s v="Hyderabad"/>
    <s v="Telangana"/>
    <n v="3"/>
    <n v="4320"/>
    <x v="3"/>
    <x v="352"/>
    <x v="4"/>
    <n v="2025"/>
    <x v="8"/>
    <n v="1.2442824074074101E-3"/>
    <s v="Low"/>
    <n v="12"/>
  </r>
  <r>
    <s v="ORD0354"/>
    <d v="2025-06-06T00:00:00"/>
    <s v="CUST016"/>
    <s v="Isha Reddy"/>
    <x v="11"/>
    <x v="0"/>
    <s v="Computers"/>
    <x v="0"/>
    <s v="Gurugram"/>
    <s v="Haryana"/>
    <n v="1"/>
    <n v="13775"/>
    <x v="0"/>
    <x v="353"/>
    <x v="2"/>
    <n v="2025"/>
    <x v="5"/>
    <n v="1.42894373865699E-3"/>
    <s v="Low"/>
    <n v="6"/>
  </r>
  <r>
    <s v="ORD0355"/>
    <d v="2025-03-12T00:00:00"/>
    <s v="CUST054"/>
    <s v="Meera Singh"/>
    <x v="5"/>
    <x v="3"/>
    <s v="Office Supplies"/>
    <x v="2"/>
    <s v="Mumbai"/>
    <s v="Maharashtra"/>
    <n v="5"/>
    <n v="765"/>
    <x v="5"/>
    <x v="354"/>
    <x v="0"/>
    <n v="2025"/>
    <x v="7"/>
    <n v="1.16352941176471E-3"/>
    <s v="Low"/>
    <n v="3"/>
  </r>
  <r>
    <s v="ORD0356"/>
    <d v="2025-03-27T00:00:00"/>
    <s v="CUST023"/>
    <s v="Sneha Nair"/>
    <x v="10"/>
    <x v="1"/>
    <s v="Storage"/>
    <x v="0"/>
    <s v="Delhi"/>
    <s v="Delhi"/>
    <n v="4"/>
    <n v="23400"/>
    <x v="4"/>
    <x v="355"/>
    <x v="2"/>
    <n v="2025"/>
    <x v="7"/>
    <n v="8.0194871794871797E-4"/>
    <s v="Low"/>
    <n v="3"/>
  </r>
  <r>
    <s v="ORD0357"/>
    <d v="2025-07-03T00:00:00"/>
    <s v="CUST080"/>
    <s v="Isha Verma"/>
    <x v="1"/>
    <x v="0"/>
    <s v="Computers"/>
    <x v="1"/>
    <s v="Hyderabad"/>
    <s v="Telangana"/>
    <n v="1"/>
    <n v="46750"/>
    <x v="5"/>
    <x v="356"/>
    <x v="0"/>
    <n v="2025"/>
    <x v="3"/>
    <n v="4.6736256684491999E-4"/>
    <s v="High"/>
    <n v="7"/>
  </r>
  <r>
    <s v="ORD0358"/>
    <d v="2025-09-11T00:00:00"/>
    <s v="CUST065"/>
    <s v="Aditya Sharma"/>
    <x v="13"/>
    <x v="3"/>
    <s v="Office Supplies"/>
    <x v="0"/>
    <s v="Jaipur"/>
    <s v="Rajasthan"/>
    <n v="4"/>
    <n v="750"/>
    <x v="6"/>
    <x v="357"/>
    <x v="2"/>
    <n v="2025"/>
    <x v="2"/>
    <n v="8.3960000000000003E-4"/>
    <s v="Low"/>
    <n v="9"/>
  </r>
  <r>
    <s v="ORD0359"/>
    <d v="2025-02-12T00:00:00"/>
    <s v="CUST063"/>
    <s v="Varun Verma"/>
    <x v="0"/>
    <x v="0"/>
    <s v="Accessories"/>
    <x v="1"/>
    <s v="Chennai"/>
    <s v="Tamil Nadu"/>
    <n v="5"/>
    <n v="9000"/>
    <x v="2"/>
    <x v="358"/>
    <x v="3"/>
    <n v="2025"/>
    <x v="10"/>
    <n v="2.3917666666666698E-3"/>
    <s v="Low"/>
    <n v="2"/>
  </r>
  <r>
    <s v="ORD0360"/>
    <d v="2025-10-03T00:00:00"/>
    <s v="CUST036"/>
    <s v="Pooja Iyer"/>
    <x v="11"/>
    <x v="0"/>
    <s v="Computers"/>
    <x v="0"/>
    <s v="Gurugram"/>
    <s v="Haryana"/>
    <n v="3"/>
    <n v="41325"/>
    <x v="0"/>
    <x v="359"/>
    <x v="2"/>
    <n v="2025"/>
    <x v="6"/>
    <n v="2.1907731397459202E-3"/>
    <s v="High"/>
    <n v="10"/>
  </r>
  <r>
    <s v="ORD0361"/>
    <d v="2025-02-27T00:00:00"/>
    <s v="CUST071"/>
    <s v="Divya Kumar"/>
    <x v="10"/>
    <x v="1"/>
    <s v="Storage"/>
    <x v="2"/>
    <s v="Ahmedabad"/>
    <s v="Gujarat"/>
    <n v="5"/>
    <n v="32500"/>
    <x v="2"/>
    <x v="360"/>
    <x v="4"/>
    <n v="2025"/>
    <x v="10"/>
    <n v="1.3357784615384599E-3"/>
    <s v="High"/>
    <n v="2"/>
  </r>
  <r>
    <s v="ORD0362"/>
    <d v="2025-01-22T00:00:00"/>
    <s v="CUST070"/>
    <s v="Varun Kumar"/>
    <x v="12"/>
    <x v="0"/>
    <s v="Office Equipment"/>
    <x v="2"/>
    <s v="Pune"/>
    <s v="Maharashtra"/>
    <n v="4"/>
    <n v="36800"/>
    <x v="3"/>
    <x v="361"/>
    <x v="1"/>
    <n v="2025"/>
    <x v="9"/>
    <n v="6.2450543478260903E-4"/>
    <s v="High"/>
    <n v="1"/>
  </r>
  <r>
    <s v="ORD0363"/>
    <d v="2025-01-17T00:00:00"/>
    <s v="CUST039"/>
    <s v="Ananya Reddy"/>
    <x v="12"/>
    <x v="0"/>
    <s v="Office Equipment"/>
    <x v="1"/>
    <s v="Hyderabad"/>
    <s v="Telangana"/>
    <n v="4"/>
    <n v="41400"/>
    <x v="4"/>
    <x v="362"/>
    <x v="2"/>
    <n v="2025"/>
    <x v="9"/>
    <n v="1.09297101449275E-3"/>
    <s v="High"/>
    <n v="1"/>
  </r>
  <r>
    <s v="ORD0364"/>
    <d v="2025-05-02T00:00:00"/>
    <s v="CUST016"/>
    <s v="Isha Reddy"/>
    <x v="9"/>
    <x v="2"/>
    <s v="Travel"/>
    <x v="0"/>
    <s v="Gurugram"/>
    <s v="Haryana"/>
    <n v="2"/>
    <n v="980"/>
    <x v="1"/>
    <x v="363"/>
    <x v="0"/>
    <n v="2025"/>
    <x v="0"/>
    <n v="1.15836734693878E-3"/>
    <s v="Low"/>
    <n v="5"/>
  </r>
  <r>
    <s v="ORD0365"/>
    <d v="2025-11-12T00:00:00"/>
    <s v="CUST055"/>
    <s v="Ananya Kumar"/>
    <x v="0"/>
    <x v="0"/>
    <s v="Accessories"/>
    <x v="0"/>
    <s v="Jaipur"/>
    <s v="Rajasthan"/>
    <n v="2"/>
    <n v="2520"/>
    <x v="1"/>
    <x v="364"/>
    <x v="3"/>
    <n v="2025"/>
    <x v="1"/>
    <n v="4.5801587301587301E-4"/>
    <s v="Low"/>
    <n v="11"/>
  </r>
  <r>
    <s v="ORD0366"/>
    <d v="2025-09-30T00:00:00"/>
    <s v="CUST073"/>
    <s v="Divya Kumar"/>
    <x v="14"/>
    <x v="0"/>
    <s v="Audio"/>
    <x v="3"/>
    <s v="Kolkata"/>
    <s v="West Bengal"/>
    <n v="3"/>
    <n v="7680"/>
    <x v="3"/>
    <x v="365"/>
    <x v="4"/>
    <n v="2025"/>
    <x v="2"/>
    <n v="1.31571614583333E-3"/>
    <s v="Low"/>
    <n v="9"/>
  </r>
  <r>
    <s v="ORD0367"/>
    <d v="2025-05-17T00:00:00"/>
    <s v="CUST038"/>
    <s v="Varun Verma"/>
    <x v="5"/>
    <x v="3"/>
    <s v="Office Supplies"/>
    <x v="1"/>
    <s v="Chennai"/>
    <s v="Tamil Nadu"/>
    <n v="5"/>
    <n v="675"/>
    <x v="6"/>
    <x v="366"/>
    <x v="2"/>
    <n v="2025"/>
    <x v="0"/>
    <n v="1.84562962962963E-3"/>
    <s v="Low"/>
    <n v="5"/>
  </r>
  <r>
    <s v="ORD0368"/>
    <d v="2025-12-02T00:00:00"/>
    <s v="CUST008"/>
    <s v="Isha Rao"/>
    <x v="8"/>
    <x v="0"/>
    <s v="Phones"/>
    <x v="2"/>
    <s v="Mumbai"/>
    <s v="Maharashtra"/>
    <n v="2"/>
    <n v="42000"/>
    <x v="6"/>
    <x v="367"/>
    <x v="4"/>
    <n v="2025"/>
    <x v="8"/>
    <n v="1.87610952380952E-3"/>
    <s v="High"/>
    <n v="12"/>
  </r>
  <r>
    <s v="ORD0369"/>
    <d v="2025-12-13T00:00:00"/>
    <s v="CUST032"/>
    <s v="Vikram Verma"/>
    <x v="9"/>
    <x v="2"/>
    <s v="Travel"/>
    <x v="0"/>
    <s v="Gurugram"/>
    <s v="Haryana"/>
    <n v="4"/>
    <n v="2380"/>
    <x v="5"/>
    <x v="368"/>
    <x v="2"/>
    <n v="2025"/>
    <x v="8"/>
    <n v="5.4718487394957995E-4"/>
    <s v="Low"/>
    <n v="12"/>
  </r>
  <r>
    <s v="ORD0370"/>
    <d v="2025-02-08T00:00:00"/>
    <s v="CUST049"/>
    <s v="Neha Gupta"/>
    <x v="6"/>
    <x v="1"/>
    <s v="Tables"/>
    <x v="0"/>
    <s v="Jaipur"/>
    <s v="Rajasthan"/>
    <n v="1"/>
    <n v="10200"/>
    <x v="5"/>
    <x v="369"/>
    <x v="4"/>
    <n v="2025"/>
    <x v="10"/>
    <n v="1.4268921568627499E-3"/>
    <s v="Low"/>
    <n v="2"/>
  </r>
  <r>
    <s v="ORD0371"/>
    <d v="2025-06-17T00:00:00"/>
    <s v="CUST059"/>
    <s v="Sneha Singh"/>
    <x v="6"/>
    <x v="1"/>
    <s v="Tables"/>
    <x v="2"/>
    <s v="Ahmedabad"/>
    <s v="Gujarat"/>
    <n v="5"/>
    <n v="60000"/>
    <x v="2"/>
    <x v="370"/>
    <x v="3"/>
    <n v="2025"/>
    <x v="5"/>
    <n v="2.5378150000000001E-3"/>
    <s v="High"/>
    <n v="6"/>
  </r>
  <r>
    <s v="ORD0372"/>
    <d v="2025-12-07T00:00:00"/>
    <s v="CUST059"/>
    <s v="Sneha Singh"/>
    <x v="13"/>
    <x v="3"/>
    <s v="Office Supplies"/>
    <x v="2"/>
    <s v="Ahmedabad"/>
    <s v="Gujarat"/>
    <n v="3"/>
    <n v="525"/>
    <x v="1"/>
    <x v="371"/>
    <x v="1"/>
    <n v="2025"/>
    <x v="8"/>
    <n v="-7.4095238095238107E-5"/>
    <s v="Low"/>
    <n v="12"/>
  </r>
  <r>
    <s v="ORD0373"/>
    <d v="2025-04-19T00:00:00"/>
    <s v="CUST055"/>
    <s v="Ananya Kumar"/>
    <x v="12"/>
    <x v="0"/>
    <s v="Office Equipment"/>
    <x v="0"/>
    <s v="Jaipur"/>
    <s v="Rajasthan"/>
    <n v="4"/>
    <n v="41400"/>
    <x v="4"/>
    <x v="372"/>
    <x v="0"/>
    <n v="2025"/>
    <x v="4"/>
    <n v="1.1748309178743999E-3"/>
    <s v="High"/>
    <n v="4"/>
  </r>
  <r>
    <s v="ORD0374"/>
    <d v="2025-10-17T00:00:00"/>
    <s v="CUST074"/>
    <s v="Pooja Kumar"/>
    <x v="0"/>
    <x v="0"/>
    <s v="Accessories"/>
    <x v="1"/>
    <s v="Chennai"/>
    <s v="Tamil Nadu"/>
    <n v="4"/>
    <n v="5040"/>
    <x v="1"/>
    <x v="373"/>
    <x v="3"/>
    <n v="2025"/>
    <x v="6"/>
    <n v="3.75555555555556E-4"/>
    <s v="Low"/>
    <n v="10"/>
  </r>
  <r>
    <s v="ORD0375"/>
    <d v="2025-11-17T00:00:00"/>
    <s v="CUST006"/>
    <s v="Kavya Gupta"/>
    <x v="4"/>
    <x v="0"/>
    <s v="Accessories"/>
    <x v="0"/>
    <s v="Jaipur"/>
    <s v="Rajasthan"/>
    <n v="4"/>
    <n v="4800"/>
    <x v="2"/>
    <x v="374"/>
    <x v="2"/>
    <n v="2025"/>
    <x v="1"/>
    <n v="1.04847916666667E-3"/>
    <s v="Low"/>
    <n v="11"/>
  </r>
  <r>
    <s v="ORD0376"/>
    <d v="2025-08-08T00:00:00"/>
    <s v="CUST059"/>
    <s v="Sneha Singh"/>
    <x v="1"/>
    <x v="0"/>
    <s v="Computers"/>
    <x v="2"/>
    <s v="Ahmedabad"/>
    <s v="Gujarat"/>
    <n v="2"/>
    <n v="82500"/>
    <x v="6"/>
    <x v="375"/>
    <x v="4"/>
    <n v="2025"/>
    <x v="11"/>
    <n v="1.5674715151515199E-3"/>
    <s v="High"/>
    <n v="8"/>
  </r>
  <r>
    <s v="ORD0377"/>
    <d v="2025-05-21T00:00:00"/>
    <s v="CUST021"/>
    <s v="Kavya Reddy"/>
    <x v="12"/>
    <x v="0"/>
    <s v="Office Equipment"/>
    <x v="0"/>
    <s v="Gurugram"/>
    <s v="Haryana"/>
    <n v="1"/>
    <n v="8625"/>
    <x v="6"/>
    <x v="376"/>
    <x v="1"/>
    <n v="2025"/>
    <x v="0"/>
    <n v="9.6935652173913095E-4"/>
    <s v="Low"/>
    <n v="5"/>
  </r>
  <r>
    <s v="ORD0378"/>
    <d v="2025-11-17T00:00:00"/>
    <s v="CUST007"/>
    <s v="Aarav Gupta"/>
    <x v="2"/>
    <x v="1"/>
    <s v="Chairs"/>
    <x v="2"/>
    <s v="Mumbai"/>
    <s v="Maharashtra"/>
    <n v="3"/>
    <n v="19125"/>
    <x v="6"/>
    <x v="377"/>
    <x v="3"/>
    <n v="2025"/>
    <x v="1"/>
    <n v="1.55254379084967E-3"/>
    <s v="Low"/>
    <n v="11"/>
  </r>
  <r>
    <s v="ORD0379"/>
    <d v="2025-04-20T00:00:00"/>
    <s v="CUST013"/>
    <s v="Rahul Rao"/>
    <x v="1"/>
    <x v="0"/>
    <s v="Computers"/>
    <x v="1"/>
    <s v="Chennai"/>
    <s v="Tamil Nadu"/>
    <n v="4"/>
    <n v="220000"/>
    <x v="2"/>
    <x v="378"/>
    <x v="2"/>
    <n v="2025"/>
    <x v="4"/>
    <n v="1.0653995454545501E-3"/>
    <s v="High"/>
    <n v="4"/>
  </r>
  <r>
    <s v="ORD0380"/>
    <d v="2025-12-23T00:00:00"/>
    <s v="CUST002"/>
    <s v="Kavya Kumar"/>
    <x v="1"/>
    <x v="0"/>
    <s v="Computers"/>
    <x v="1"/>
    <s v="Hyderabad"/>
    <s v="Telangana"/>
    <n v="3"/>
    <n v="115500"/>
    <x v="1"/>
    <x v="379"/>
    <x v="1"/>
    <n v="2025"/>
    <x v="8"/>
    <n v="-2.04067532467532E-4"/>
    <s v="High"/>
    <n v="12"/>
  </r>
  <r>
    <s v="ORD0381"/>
    <d v="2025-04-28T00:00:00"/>
    <s v="CUST062"/>
    <s v="Kiran Nair"/>
    <x v="4"/>
    <x v="0"/>
    <s v="Accessories"/>
    <x v="3"/>
    <s v="Kolkata"/>
    <s v="West Bengal"/>
    <n v="4"/>
    <n v="4800"/>
    <x v="2"/>
    <x v="380"/>
    <x v="4"/>
    <n v="2025"/>
    <x v="4"/>
    <n v="2.2615208333333298E-3"/>
    <s v="Low"/>
    <n v="4"/>
  </r>
  <r>
    <s v="ORD0382"/>
    <d v="2025-06-03T00:00:00"/>
    <s v="CUST048"/>
    <s v="Sneha Gupta"/>
    <x v="7"/>
    <x v="0"/>
    <s v="Accessories"/>
    <x v="1"/>
    <s v="Chennai"/>
    <s v="Tamil Nadu"/>
    <n v="2"/>
    <n v="765"/>
    <x v="5"/>
    <x v="381"/>
    <x v="1"/>
    <n v="2025"/>
    <x v="5"/>
    <n v="1.76444444444444E-3"/>
    <s v="Low"/>
    <n v="6"/>
  </r>
  <r>
    <s v="ORD0383"/>
    <d v="2025-09-29T00:00:00"/>
    <s v="CUST019"/>
    <s v="Vikram Reddy"/>
    <x v="4"/>
    <x v="0"/>
    <s v="Accessories"/>
    <x v="1"/>
    <s v="Bengaluru"/>
    <s v="Karnataka"/>
    <n v="5"/>
    <n v="6000"/>
    <x v="2"/>
    <x v="382"/>
    <x v="4"/>
    <n v="2025"/>
    <x v="2"/>
    <n v="2.0206333333333301E-3"/>
    <s v="Low"/>
    <n v="9"/>
  </r>
  <r>
    <s v="ORD0384"/>
    <d v="2025-03-19T00:00:00"/>
    <s v="CUST028"/>
    <s v="Kavya Nair"/>
    <x v="13"/>
    <x v="3"/>
    <s v="Office Supplies"/>
    <x v="1"/>
    <s v="Bengaluru"/>
    <s v="Karnataka"/>
    <n v="4"/>
    <n v="800"/>
    <x v="3"/>
    <x v="383"/>
    <x v="3"/>
    <n v="2025"/>
    <x v="7"/>
    <n v="1.3431249999999999E-3"/>
    <s v="Low"/>
    <n v="3"/>
  </r>
  <r>
    <s v="ORD0385"/>
    <d v="2025-03-05T00:00:00"/>
    <s v="CUST013"/>
    <s v="Rahul Rao"/>
    <x v="0"/>
    <x v="0"/>
    <s v="Accessories"/>
    <x v="1"/>
    <s v="Chennai"/>
    <s v="Tamil Nadu"/>
    <n v="5"/>
    <n v="6750"/>
    <x v="6"/>
    <x v="384"/>
    <x v="4"/>
    <n v="2025"/>
    <x v="7"/>
    <n v="4.6602962962962997E-4"/>
    <s v="Low"/>
    <n v="3"/>
  </r>
  <r>
    <s v="ORD0386"/>
    <d v="2025-05-22T00:00:00"/>
    <s v="CUST018"/>
    <s v="Shreya Nair"/>
    <x v="11"/>
    <x v="0"/>
    <s v="Computers"/>
    <x v="0"/>
    <s v="Jaipur"/>
    <s v="Rajasthan"/>
    <n v="1"/>
    <n v="13775"/>
    <x v="0"/>
    <x v="385"/>
    <x v="0"/>
    <n v="2025"/>
    <x v="0"/>
    <n v="1.73178947368421E-3"/>
    <s v="Low"/>
    <n v="5"/>
  </r>
  <r>
    <s v="ORD0387"/>
    <d v="2025-12-20T00:00:00"/>
    <s v="CUST037"/>
    <s v="Meera Kumar"/>
    <x v="9"/>
    <x v="2"/>
    <s v="Travel"/>
    <x v="1"/>
    <s v="Hyderabad"/>
    <s v="Telangana"/>
    <n v="1"/>
    <n v="490"/>
    <x v="1"/>
    <x v="386"/>
    <x v="1"/>
    <n v="2025"/>
    <x v="8"/>
    <n v="1.2373469387755101E-3"/>
    <s v="Low"/>
    <n v="12"/>
  </r>
  <r>
    <s v="ORD0388"/>
    <d v="2025-09-18T00:00:00"/>
    <s v="CUST067"/>
    <s v="Kavya Sharma"/>
    <x v="5"/>
    <x v="3"/>
    <s v="Office Supplies"/>
    <x v="1"/>
    <s v="Chennai"/>
    <s v="Tamil Nadu"/>
    <n v="2"/>
    <n v="270"/>
    <x v="6"/>
    <x v="329"/>
    <x v="1"/>
    <n v="2025"/>
    <x v="2"/>
    <n v="6.7962962962962996E-4"/>
    <s v="Low"/>
    <n v="9"/>
  </r>
  <r>
    <s v="ORD0389"/>
    <d v="2025-02-27T00:00:00"/>
    <s v="CUST064"/>
    <s v="Kavya Kumar"/>
    <x v="2"/>
    <x v="1"/>
    <s v="Chairs"/>
    <x v="1"/>
    <s v="Chennai"/>
    <s v="Tamil Nadu"/>
    <n v="2"/>
    <n v="14450"/>
    <x v="5"/>
    <x v="387"/>
    <x v="3"/>
    <n v="2025"/>
    <x v="10"/>
    <n v="1.7495363321799299E-3"/>
    <s v="Low"/>
    <n v="2"/>
  </r>
  <r>
    <s v="ORD0390"/>
    <d v="2025-06-12T00:00:00"/>
    <s v="CUST047"/>
    <s v="Aarav Singh"/>
    <x v="7"/>
    <x v="0"/>
    <s v="Accessories"/>
    <x v="2"/>
    <s v="Ahmedabad"/>
    <s v="Gujarat"/>
    <n v="2"/>
    <n v="765"/>
    <x v="5"/>
    <x v="388"/>
    <x v="4"/>
    <n v="2025"/>
    <x v="5"/>
    <n v="2.00849673202614E-3"/>
    <s v="Low"/>
    <n v="6"/>
  </r>
  <r>
    <s v="ORD0391"/>
    <d v="2025-03-30T00:00:00"/>
    <s v="CUST070"/>
    <s v="Varun Kumar"/>
    <x v="13"/>
    <x v="3"/>
    <s v="Office Supplies"/>
    <x v="2"/>
    <s v="Pune"/>
    <s v="Maharashtra"/>
    <n v="4"/>
    <n v="700"/>
    <x v="1"/>
    <x v="389"/>
    <x v="3"/>
    <n v="2025"/>
    <x v="7"/>
    <n v="-9.4571428571428603E-5"/>
    <s v="Low"/>
    <n v="3"/>
  </r>
  <r>
    <s v="ORD0392"/>
    <d v="2025-01-21T00:00:00"/>
    <s v="CUST034"/>
    <s v="Rohan Kumar"/>
    <x v="11"/>
    <x v="0"/>
    <s v="Computers"/>
    <x v="2"/>
    <s v="Ahmedabad"/>
    <s v="Gujarat"/>
    <n v="1"/>
    <n v="10150"/>
    <x v="1"/>
    <x v="390"/>
    <x v="0"/>
    <n v="2025"/>
    <x v="9"/>
    <n v="7.8108374384236402E-4"/>
    <s v="Low"/>
    <n v="1"/>
  </r>
  <r>
    <s v="ORD0393"/>
    <d v="2025-12-26T00:00:00"/>
    <s v="CUST054"/>
    <s v="Meera Singh"/>
    <x v="2"/>
    <x v="1"/>
    <s v="Chairs"/>
    <x v="2"/>
    <s v="Mumbai"/>
    <s v="Maharashtra"/>
    <n v="4"/>
    <n v="34000"/>
    <x v="2"/>
    <x v="391"/>
    <x v="1"/>
    <n v="2025"/>
    <x v="8"/>
    <n v="2.0810735294117602E-3"/>
    <s v="High"/>
    <n v="12"/>
  </r>
  <r>
    <s v="ORD0394"/>
    <d v="2025-06-08T00:00:00"/>
    <s v="CUST036"/>
    <s v="Pooja Iyer"/>
    <x v="4"/>
    <x v="0"/>
    <s v="Accessories"/>
    <x v="0"/>
    <s v="Gurugram"/>
    <s v="Haryana"/>
    <n v="1"/>
    <n v="960"/>
    <x v="3"/>
    <x v="392"/>
    <x v="1"/>
    <n v="2025"/>
    <x v="5"/>
    <n v="1.7546875E-3"/>
    <s v="Low"/>
    <n v="6"/>
  </r>
  <r>
    <s v="ORD0395"/>
    <d v="2025-07-20T00:00:00"/>
    <s v="CUST069"/>
    <s v="Ananya Nair"/>
    <x v="14"/>
    <x v="0"/>
    <s v="Audio"/>
    <x v="1"/>
    <s v="Chennai"/>
    <s v="Tamil Nadu"/>
    <n v="5"/>
    <n v="12000"/>
    <x v="6"/>
    <x v="393"/>
    <x v="3"/>
    <n v="2025"/>
    <x v="3"/>
    <n v="1.4203E-3"/>
    <s v="Low"/>
    <n v="7"/>
  </r>
  <r>
    <s v="ORD0396"/>
    <d v="2025-08-12T00:00:00"/>
    <s v="CUST040"/>
    <s v="Sneha Rao"/>
    <x v="3"/>
    <x v="2"/>
    <s v="Travel"/>
    <x v="0"/>
    <s v="Jaipur"/>
    <s v="Rajasthan"/>
    <n v="2"/>
    <n v="3200"/>
    <x v="2"/>
    <x v="394"/>
    <x v="3"/>
    <n v="2025"/>
    <x v="11"/>
    <n v="1.28896875E-3"/>
    <s v="Low"/>
    <n v="8"/>
  </r>
  <r>
    <s v="ORD0397"/>
    <d v="2025-11-08T00:00:00"/>
    <s v="CUST059"/>
    <s v="Sneha Singh"/>
    <x v="5"/>
    <x v="3"/>
    <s v="Office Supplies"/>
    <x v="2"/>
    <s v="Ahmedabad"/>
    <s v="Gujarat"/>
    <n v="1"/>
    <n v="162"/>
    <x v="4"/>
    <x v="395"/>
    <x v="1"/>
    <n v="2025"/>
    <x v="1"/>
    <n v="1.7679012345678999E-3"/>
    <s v="Low"/>
    <n v="11"/>
  </r>
  <r>
    <s v="ORD0398"/>
    <d v="2025-12-29T00:00:00"/>
    <s v="CUST016"/>
    <s v="Isha Reddy"/>
    <x v="1"/>
    <x v="0"/>
    <s v="Computers"/>
    <x v="0"/>
    <s v="Gurugram"/>
    <s v="Haryana"/>
    <n v="2"/>
    <n v="82500"/>
    <x v="6"/>
    <x v="396"/>
    <x v="4"/>
    <n v="2025"/>
    <x v="8"/>
    <n v="1.24436363636364E-5"/>
    <s v="High"/>
    <n v="12"/>
  </r>
  <r>
    <s v="ORD0399"/>
    <d v="2025-05-13T00:00:00"/>
    <s v="CUST067"/>
    <s v="Kavya Sharma"/>
    <x v="10"/>
    <x v="1"/>
    <s v="Storage"/>
    <x v="1"/>
    <s v="Chennai"/>
    <s v="Tamil Nadu"/>
    <n v="2"/>
    <n v="11700"/>
    <x v="4"/>
    <x v="397"/>
    <x v="4"/>
    <n v="2025"/>
    <x v="0"/>
    <n v="6.5858119658119695E-4"/>
    <s v="Low"/>
    <n v="5"/>
  </r>
  <r>
    <s v="ORD0400"/>
    <d v="2025-01-16T00:00:00"/>
    <s v="CUST016"/>
    <s v="Isha Reddy"/>
    <x v="9"/>
    <x v="2"/>
    <s v="Travel"/>
    <x v="0"/>
    <s v="Gurugram"/>
    <s v="Haryana"/>
    <n v="3"/>
    <n v="1470"/>
    <x v="1"/>
    <x v="398"/>
    <x v="4"/>
    <n v="2025"/>
    <x v="9"/>
    <n v="6.6578231292517001E-4"/>
    <s v="Low"/>
    <n v="1"/>
  </r>
  <r>
    <s v="ORD0401"/>
    <d v="2025-02-09T00:00:00"/>
    <s v="CUST074"/>
    <s v="Pooja Kumar"/>
    <x v="13"/>
    <x v="3"/>
    <s v="Office Supplies"/>
    <x v="1"/>
    <s v="Chennai"/>
    <s v="Tamil Nadu"/>
    <n v="4"/>
    <n v="850"/>
    <x v="5"/>
    <x v="399"/>
    <x v="0"/>
    <n v="2025"/>
    <x v="10"/>
    <n v="1.50082352941176E-3"/>
    <s v="Low"/>
    <n v="2"/>
  </r>
  <r>
    <s v="ORD0402"/>
    <d v="2025-03-22T00:00:00"/>
    <s v="CUST022"/>
    <s v="Arjun Verma"/>
    <x v="14"/>
    <x v="0"/>
    <s v="Audio"/>
    <x v="0"/>
    <s v="Delhi"/>
    <s v="Delhi"/>
    <n v="3"/>
    <n v="6720"/>
    <x v="1"/>
    <x v="400"/>
    <x v="3"/>
    <n v="2025"/>
    <x v="7"/>
    <n v="-2.4627976190476202E-5"/>
    <s v="Low"/>
    <n v="3"/>
  </r>
  <r>
    <s v="ORD0403"/>
    <d v="2025-09-18T00:00:00"/>
    <s v="CUST030"/>
    <s v="Kiran Singh"/>
    <x v="3"/>
    <x v="2"/>
    <s v="Travel"/>
    <x v="1"/>
    <s v="Chennai"/>
    <s v="Tamil Nadu"/>
    <n v="1"/>
    <n v="1600"/>
    <x v="2"/>
    <x v="401"/>
    <x v="3"/>
    <n v="2025"/>
    <x v="2"/>
    <n v="2.5173750000000001E-3"/>
    <s v="Low"/>
    <n v="9"/>
  </r>
  <r>
    <s v="ORD0404"/>
    <d v="2025-07-16T00:00:00"/>
    <s v="CUST061"/>
    <s v="Isha Kumar"/>
    <x v="14"/>
    <x v="0"/>
    <s v="Audio"/>
    <x v="2"/>
    <s v="Pune"/>
    <s v="Maharashtra"/>
    <n v="2"/>
    <n v="6080"/>
    <x v="0"/>
    <x v="402"/>
    <x v="0"/>
    <n v="2025"/>
    <x v="3"/>
    <n v="2.4551315789473698E-3"/>
    <s v="Low"/>
    <n v="7"/>
  </r>
  <r>
    <s v="ORD0405"/>
    <d v="2025-06-14T00:00:00"/>
    <s v="CUST054"/>
    <s v="Meera Singh"/>
    <x v="11"/>
    <x v="0"/>
    <s v="Computers"/>
    <x v="2"/>
    <s v="Mumbai"/>
    <s v="Maharashtra"/>
    <n v="2"/>
    <n v="24650"/>
    <x v="5"/>
    <x v="403"/>
    <x v="3"/>
    <n v="2025"/>
    <x v="5"/>
    <n v="2.2117322515213E-3"/>
    <s v="Low"/>
    <n v="6"/>
  </r>
  <r>
    <s v="ORD0406"/>
    <d v="2025-03-03T00:00:00"/>
    <s v="CUST074"/>
    <s v="Pooja Kumar"/>
    <x v="14"/>
    <x v="0"/>
    <s v="Audio"/>
    <x v="1"/>
    <s v="Chennai"/>
    <s v="Tamil Nadu"/>
    <n v="5"/>
    <n v="12000"/>
    <x v="6"/>
    <x v="404"/>
    <x v="0"/>
    <n v="2025"/>
    <x v="7"/>
    <n v="1.9917916666666699E-3"/>
    <s v="Low"/>
    <n v="3"/>
  </r>
  <r>
    <s v="ORD0407"/>
    <d v="2025-02-05T00:00:00"/>
    <s v="CUST006"/>
    <s v="Kavya Gupta"/>
    <x v="2"/>
    <x v="1"/>
    <s v="Chairs"/>
    <x v="0"/>
    <s v="Jaipur"/>
    <s v="Rajasthan"/>
    <n v="4"/>
    <n v="23800"/>
    <x v="1"/>
    <x v="405"/>
    <x v="4"/>
    <n v="2025"/>
    <x v="10"/>
    <n v="1.3097899159663899E-4"/>
    <s v="Low"/>
    <n v="2"/>
  </r>
  <r>
    <s v="ORD0408"/>
    <d v="2025-08-22T00:00:00"/>
    <s v="CUST012"/>
    <s v="Vikram Nair"/>
    <x v="10"/>
    <x v="1"/>
    <s v="Storage"/>
    <x v="1"/>
    <s v="Chennai"/>
    <s v="Tamil Nadu"/>
    <n v="1"/>
    <n v="5850"/>
    <x v="4"/>
    <x v="406"/>
    <x v="4"/>
    <n v="2025"/>
    <x v="11"/>
    <n v="8.6039316239316195E-4"/>
    <s v="Low"/>
    <n v="8"/>
  </r>
  <r>
    <s v="ORD0409"/>
    <d v="2025-08-26T00:00:00"/>
    <s v="CUST080"/>
    <s v="Isha Verma"/>
    <x v="11"/>
    <x v="0"/>
    <s v="Computers"/>
    <x v="1"/>
    <s v="Hyderabad"/>
    <s v="Telangana"/>
    <n v="3"/>
    <n v="34800"/>
    <x v="3"/>
    <x v="407"/>
    <x v="1"/>
    <n v="2025"/>
    <x v="11"/>
    <n v="1.84482183908046E-3"/>
    <s v="High"/>
    <n v="8"/>
  </r>
  <r>
    <s v="ORD0410"/>
    <d v="2025-05-06T00:00:00"/>
    <s v="CUST070"/>
    <s v="Varun Kumar"/>
    <x v="9"/>
    <x v="2"/>
    <s v="Travel"/>
    <x v="2"/>
    <s v="Pune"/>
    <s v="Maharashtra"/>
    <n v="2"/>
    <n v="1400"/>
    <x v="2"/>
    <x v="408"/>
    <x v="0"/>
    <n v="2025"/>
    <x v="0"/>
    <n v="2.6647857142857098E-3"/>
    <s v="Low"/>
    <n v="5"/>
  </r>
  <r>
    <s v="ORD0411"/>
    <d v="2025-12-22T00:00:00"/>
    <s v="CUST045"/>
    <s v="Aditya Reddy"/>
    <x v="13"/>
    <x v="3"/>
    <s v="Office Supplies"/>
    <x v="2"/>
    <s v="Pune"/>
    <s v="Maharashtra"/>
    <n v="1"/>
    <n v="225"/>
    <x v="4"/>
    <x v="409"/>
    <x v="4"/>
    <n v="2025"/>
    <x v="8"/>
    <n v="4.3866666666666701E-4"/>
    <s v="Low"/>
    <n v="12"/>
  </r>
  <r>
    <s v="ORD0412"/>
    <d v="2025-09-29T00:00:00"/>
    <s v="CUST014"/>
    <s v="Meera Nair"/>
    <x v="11"/>
    <x v="0"/>
    <s v="Computers"/>
    <x v="0"/>
    <s v="Jaipur"/>
    <s v="Rajasthan"/>
    <n v="2"/>
    <n v="24650"/>
    <x v="5"/>
    <x v="410"/>
    <x v="1"/>
    <n v="2025"/>
    <x v="2"/>
    <n v="1.46159837728195E-3"/>
    <s v="Low"/>
    <n v="9"/>
  </r>
  <r>
    <s v="ORD0413"/>
    <d v="2025-01-23T00:00:00"/>
    <s v="CUST036"/>
    <s v="Pooja Iyer"/>
    <x v="4"/>
    <x v="0"/>
    <s v="Accessories"/>
    <x v="0"/>
    <s v="Gurugram"/>
    <s v="Haryana"/>
    <n v="2"/>
    <n v="1680"/>
    <x v="1"/>
    <x v="411"/>
    <x v="4"/>
    <n v="2025"/>
    <x v="9"/>
    <n v="7.1386904761904803E-4"/>
    <s v="Low"/>
    <n v="1"/>
  </r>
  <r>
    <s v="ORD0414"/>
    <d v="2025-02-13T00:00:00"/>
    <s v="CUST059"/>
    <s v="Sneha Singh"/>
    <x v="3"/>
    <x v="2"/>
    <s v="Travel"/>
    <x v="2"/>
    <s v="Ahmedabad"/>
    <s v="Gujarat"/>
    <n v="5"/>
    <n v="8000"/>
    <x v="2"/>
    <x v="412"/>
    <x v="2"/>
    <n v="2025"/>
    <x v="10"/>
    <n v="1.8108499999999999E-3"/>
    <s v="Low"/>
    <n v="2"/>
  </r>
  <r>
    <s v="ORD0415"/>
    <d v="2025-10-18T00:00:00"/>
    <s v="CUST010"/>
    <s v="Aarav Patel"/>
    <x v="5"/>
    <x v="3"/>
    <s v="Office Supplies"/>
    <x v="0"/>
    <s v="Gurugram"/>
    <s v="Haryana"/>
    <n v="1"/>
    <n v="153"/>
    <x v="5"/>
    <x v="413"/>
    <x v="4"/>
    <n v="2025"/>
    <x v="6"/>
    <n v="1.7758169934640499E-3"/>
    <s v="Low"/>
    <n v="10"/>
  </r>
  <r>
    <s v="ORD0416"/>
    <d v="2025-06-11T00:00:00"/>
    <s v="CUST034"/>
    <s v="Rohan Kumar"/>
    <x v="12"/>
    <x v="0"/>
    <s v="Office Equipment"/>
    <x v="2"/>
    <s v="Ahmedabad"/>
    <s v="Gujarat"/>
    <n v="4"/>
    <n v="34500"/>
    <x v="6"/>
    <x v="414"/>
    <x v="2"/>
    <n v="2025"/>
    <x v="5"/>
    <n v="1.75989275362319E-3"/>
    <s v="High"/>
    <n v="6"/>
  </r>
  <r>
    <s v="ORD0417"/>
    <d v="2025-02-08T00:00:00"/>
    <s v="CUST035"/>
    <s v="Isha Singh"/>
    <x v="11"/>
    <x v="0"/>
    <s v="Computers"/>
    <x v="0"/>
    <s v="Jaipur"/>
    <s v="Rajasthan"/>
    <n v="2"/>
    <n v="27550"/>
    <x v="0"/>
    <x v="415"/>
    <x v="1"/>
    <n v="2025"/>
    <x v="10"/>
    <n v="2.1867840290381098E-3"/>
    <s v="Low"/>
    <n v="2"/>
  </r>
  <r>
    <s v="ORD0418"/>
    <d v="2025-08-19T00:00:00"/>
    <s v="CUST014"/>
    <s v="Meera Nair"/>
    <x v="0"/>
    <x v="0"/>
    <s v="Accessories"/>
    <x v="0"/>
    <s v="Jaipur"/>
    <s v="Rajasthan"/>
    <n v="4"/>
    <n v="6480"/>
    <x v="4"/>
    <x v="416"/>
    <x v="1"/>
    <n v="2025"/>
    <x v="11"/>
    <n v="1.2790432098765401E-3"/>
    <s v="Low"/>
    <n v="8"/>
  </r>
  <r>
    <s v="ORD0419"/>
    <d v="2025-08-26T00:00:00"/>
    <s v="CUST058"/>
    <s v="Rohan Verma"/>
    <x v="8"/>
    <x v="0"/>
    <s v="Phones"/>
    <x v="2"/>
    <s v="Ahmedabad"/>
    <s v="Gujarat"/>
    <n v="3"/>
    <n v="58800"/>
    <x v="1"/>
    <x v="417"/>
    <x v="4"/>
    <n v="2025"/>
    <x v="11"/>
    <n v="3.2161564625850301E-4"/>
    <s v="High"/>
    <n v="8"/>
  </r>
  <r>
    <s v="ORD0420"/>
    <d v="2025-04-21T00:00:00"/>
    <s v="CUST078"/>
    <s v="Kiran Nair"/>
    <x v="1"/>
    <x v="0"/>
    <s v="Computers"/>
    <x v="1"/>
    <s v="Chennai"/>
    <s v="Tamil Nadu"/>
    <n v="3"/>
    <n v="156750"/>
    <x v="0"/>
    <x v="418"/>
    <x v="4"/>
    <n v="2025"/>
    <x v="4"/>
    <n v="8.5139840510366801E-4"/>
    <s v="High"/>
    <n v="4"/>
  </r>
  <r>
    <s v="ORD0421"/>
    <d v="2025-01-26T00:00:00"/>
    <s v="CUST051"/>
    <s v="Sneha Gupta"/>
    <x v="10"/>
    <x v="1"/>
    <s v="Storage"/>
    <x v="2"/>
    <s v="Ahmedabad"/>
    <s v="Gujarat"/>
    <n v="3"/>
    <n v="17550"/>
    <x v="4"/>
    <x v="419"/>
    <x v="2"/>
    <n v="2025"/>
    <x v="9"/>
    <n v="2.19671225071225E-3"/>
    <s v="Low"/>
    <n v="1"/>
  </r>
  <r>
    <s v="ORD0422"/>
    <d v="2025-10-09T00:00:00"/>
    <s v="CUST058"/>
    <s v="Rohan Verma"/>
    <x v="10"/>
    <x v="1"/>
    <s v="Storage"/>
    <x v="2"/>
    <s v="Ahmedabad"/>
    <s v="Gujarat"/>
    <n v="2"/>
    <n v="13000"/>
    <x v="2"/>
    <x v="420"/>
    <x v="1"/>
    <n v="2025"/>
    <x v="6"/>
    <n v="1.7240846153846201E-3"/>
    <s v="Low"/>
    <n v="10"/>
  </r>
  <r>
    <s v="ORD0423"/>
    <d v="2025-02-01T00:00:00"/>
    <s v="CUST016"/>
    <s v="Isha Reddy"/>
    <x v="1"/>
    <x v="0"/>
    <s v="Computers"/>
    <x v="0"/>
    <s v="Gurugram"/>
    <s v="Haryana"/>
    <n v="2"/>
    <n v="104500"/>
    <x v="0"/>
    <x v="421"/>
    <x v="3"/>
    <n v="2025"/>
    <x v="10"/>
    <n v="1.04619330143541E-3"/>
    <s v="High"/>
    <n v="2"/>
  </r>
  <r>
    <s v="ORD0424"/>
    <d v="2025-05-13T00:00:00"/>
    <s v="CUST075"/>
    <s v="Priya Rao"/>
    <x v="5"/>
    <x v="3"/>
    <s v="Office Supplies"/>
    <x v="0"/>
    <s v="Delhi"/>
    <s v="Delhi"/>
    <n v="1"/>
    <n v="180"/>
    <x v="2"/>
    <x v="422"/>
    <x v="2"/>
    <n v="2025"/>
    <x v="0"/>
    <n v="2.7944444444444401E-3"/>
    <s v="Low"/>
    <n v="5"/>
  </r>
  <r>
    <s v="ORD0425"/>
    <d v="2025-06-19T00:00:00"/>
    <s v="CUST017"/>
    <s v="Rahul Gupta"/>
    <x v="4"/>
    <x v="0"/>
    <s v="Accessories"/>
    <x v="2"/>
    <s v="Pune"/>
    <s v="Maharashtra"/>
    <n v="1"/>
    <n v="1200"/>
    <x v="2"/>
    <x v="423"/>
    <x v="0"/>
    <n v="2025"/>
    <x v="5"/>
    <n v="2.6845833333333301E-3"/>
    <s v="Low"/>
    <n v="6"/>
  </r>
  <r>
    <s v="ORD0426"/>
    <d v="2025-07-22T00:00:00"/>
    <s v="CUST056"/>
    <s v="Rahul Reddy"/>
    <x v="12"/>
    <x v="0"/>
    <s v="Office Equipment"/>
    <x v="3"/>
    <s v="Kolkata"/>
    <s v="West Bengal"/>
    <n v="4"/>
    <n v="46000"/>
    <x v="2"/>
    <x v="424"/>
    <x v="4"/>
    <n v="2025"/>
    <x v="3"/>
    <n v="1.56545869565217E-3"/>
    <s v="High"/>
    <n v="7"/>
  </r>
  <r>
    <s v="ORD0427"/>
    <d v="2025-04-06T00:00:00"/>
    <s v="CUST028"/>
    <s v="Kavya Nair"/>
    <x v="7"/>
    <x v="0"/>
    <s v="Accessories"/>
    <x v="1"/>
    <s v="Bengaluru"/>
    <s v="Karnataka"/>
    <n v="3"/>
    <n v="1215"/>
    <x v="4"/>
    <x v="425"/>
    <x v="0"/>
    <n v="2025"/>
    <x v="4"/>
    <n v="1.45489711934156E-3"/>
    <s v="Low"/>
    <n v="4"/>
  </r>
  <r>
    <s v="ORD0428"/>
    <d v="2025-05-06T00:00:00"/>
    <s v="CUST080"/>
    <s v="Isha Verma"/>
    <x v="5"/>
    <x v="3"/>
    <s v="Office Supplies"/>
    <x v="1"/>
    <s v="Hyderabad"/>
    <s v="Telangana"/>
    <n v="3"/>
    <n v="459"/>
    <x v="5"/>
    <x v="426"/>
    <x v="3"/>
    <n v="2025"/>
    <x v="0"/>
    <n v="1.11742919389978E-3"/>
    <s v="Low"/>
    <n v="5"/>
  </r>
  <r>
    <s v="ORD0429"/>
    <d v="2025-07-16T00:00:00"/>
    <s v="CUST012"/>
    <s v="Vikram Nair"/>
    <x v="8"/>
    <x v="0"/>
    <s v="Phones"/>
    <x v="1"/>
    <s v="Chennai"/>
    <s v="Tamil Nadu"/>
    <n v="2"/>
    <n v="47600"/>
    <x v="5"/>
    <x v="427"/>
    <x v="0"/>
    <n v="2025"/>
    <x v="3"/>
    <n v="5.67170168067227E-4"/>
    <s v="High"/>
    <n v="7"/>
  </r>
  <r>
    <s v="ORD0430"/>
    <d v="2025-10-06T00:00:00"/>
    <s v="CUST032"/>
    <s v="Vikram Verma"/>
    <x v="13"/>
    <x v="3"/>
    <s v="Office Supplies"/>
    <x v="0"/>
    <s v="Gurugram"/>
    <s v="Haryana"/>
    <n v="1"/>
    <n v="212.5"/>
    <x v="5"/>
    <x v="428"/>
    <x v="0"/>
    <n v="2025"/>
    <x v="6"/>
    <n v="1.9289411764705901E-3"/>
    <s v="Low"/>
    <n v="10"/>
  </r>
  <r>
    <s v="ORD0431"/>
    <d v="2025-10-17T00:00:00"/>
    <s v="CUST063"/>
    <s v="Varun Verma"/>
    <x v="14"/>
    <x v="0"/>
    <s v="Audio"/>
    <x v="1"/>
    <s v="Chennai"/>
    <s v="Tamil Nadu"/>
    <n v="5"/>
    <n v="14400"/>
    <x v="4"/>
    <x v="429"/>
    <x v="4"/>
    <n v="2025"/>
    <x v="6"/>
    <n v="1.33180555555556E-3"/>
    <s v="Low"/>
    <n v="10"/>
  </r>
  <r>
    <s v="ORD0432"/>
    <d v="2025-01-16T00:00:00"/>
    <s v="CUST077"/>
    <s v="Ananya Reddy"/>
    <x v="11"/>
    <x v="0"/>
    <s v="Computers"/>
    <x v="1"/>
    <s v="Bengaluru"/>
    <s v="Karnataka"/>
    <n v="3"/>
    <n v="43500"/>
    <x v="2"/>
    <x v="430"/>
    <x v="4"/>
    <n v="2025"/>
    <x v="9"/>
    <n v="2.4173080459770099E-3"/>
    <s v="High"/>
    <n v="1"/>
  </r>
  <r>
    <s v="ORD0433"/>
    <d v="2025-03-23T00:00:00"/>
    <s v="CUST075"/>
    <s v="Priya Rao"/>
    <x v="11"/>
    <x v="0"/>
    <s v="Computers"/>
    <x v="0"/>
    <s v="Delhi"/>
    <s v="Delhi"/>
    <n v="1"/>
    <n v="13775"/>
    <x v="0"/>
    <x v="431"/>
    <x v="3"/>
    <n v="2025"/>
    <x v="7"/>
    <n v="1.98041379310345E-3"/>
    <s v="Low"/>
    <n v="3"/>
  </r>
  <r>
    <s v="ORD0434"/>
    <d v="2025-07-18T00:00:00"/>
    <s v="CUST029"/>
    <s v="Kavya Sharma"/>
    <x v="5"/>
    <x v="3"/>
    <s v="Office Supplies"/>
    <x v="0"/>
    <s v="Delhi"/>
    <s v="Delhi"/>
    <n v="3"/>
    <n v="378"/>
    <x v="1"/>
    <x v="432"/>
    <x v="1"/>
    <n v="2025"/>
    <x v="3"/>
    <n v="2.0529100529100498E-3"/>
    <s v="Low"/>
    <n v="7"/>
  </r>
  <r>
    <s v="ORD0435"/>
    <d v="2025-12-24T00:00:00"/>
    <s v="CUST076"/>
    <s v="Pooja Rao"/>
    <x v="14"/>
    <x v="0"/>
    <s v="Audio"/>
    <x v="3"/>
    <s v="Kolkata"/>
    <s v="West Bengal"/>
    <n v="3"/>
    <n v="7680"/>
    <x v="3"/>
    <x v="433"/>
    <x v="0"/>
    <n v="2025"/>
    <x v="8"/>
    <n v="1.061328125E-4"/>
    <s v="Low"/>
    <n v="12"/>
  </r>
  <r>
    <s v="ORD0436"/>
    <d v="2025-10-16T00:00:00"/>
    <s v="CUST073"/>
    <s v="Divya Kumar"/>
    <x v="0"/>
    <x v="0"/>
    <s v="Accessories"/>
    <x v="3"/>
    <s v="Kolkata"/>
    <s v="West Bengal"/>
    <n v="2"/>
    <n v="2520"/>
    <x v="1"/>
    <x v="434"/>
    <x v="2"/>
    <n v="2025"/>
    <x v="6"/>
    <n v="1.51480158730159E-3"/>
    <s v="Low"/>
    <n v="10"/>
  </r>
  <r>
    <s v="ORD0437"/>
    <d v="2025-03-31T00:00:00"/>
    <s v="CUST070"/>
    <s v="Varun Kumar"/>
    <x v="8"/>
    <x v="0"/>
    <s v="Phones"/>
    <x v="2"/>
    <s v="Pune"/>
    <s v="Maharashtra"/>
    <n v="4"/>
    <n v="112000"/>
    <x v="2"/>
    <x v="435"/>
    <x v="1"/>
    <n v="2025"/>
    <x v="7"/>
    <n v="9.8051517857142907E-4"/>
    <s v="High"/>
    <n v="3"/>
  </r>
  <r>
    <s v="ORD0438"/>
    <d v="2025-09-02T00:00:00"/>
    <s v="CUST003"/>
    <s v="Priya Gupta"/>
    <x v="10"/>
    <x v="1"/>
    <s v="Storage"/>
    <x v="1"/>
    <s v="Chennai"/>
    <s v="Tamil Nadu"/>
    <n v="1"/>
    <n v="5850"/>
    <x v="4"/>
    <x v="436"/>
    <x v="1"/>
    <n v="2025"/>
    <x v="2"/>
    <n v="2.3854188034188001E-3"/>
    <s v="Low"/>
    <n v="9"/>
  </r>
  <r>
    <s v="ORD0439"/>
    <d v="2025-04-01T00:00:00"/>
    <s v="CUST044"/>
    <s v="Priya Gupta"/>
    <x v="3"/>
    <x v="2"/>
    <s v="Travel"/>
    <x v="2"/>
    <s v="Pune"/>
    <s v="Maharashtra"/>
    <n v="3"/>
    <n v="4800"/>
    <x v="2"/>
    <x v="437"/>
    <x v="1"/>
    <n v="2025"/>
    <x v="4"/>
    <n v="8.4383333333333305E-4"/>
    <s v="Low"/>
    <n v="4"/>
  </r>
  <r>
    <s v="ORD0440"/>
    <d v="2025-09-27T00:00:00"/>
    <s v="CUST015"/>
    <s v="Arjun Sharma"/>
    <x v="12"/>
    <x v="0"/>
    <s v="Office Equipment"/>
    <x v="3"/>
    <s v="Kolkata"/>
    <s v="West Bengal"/>
    <n v="3"/>
    <n v="34500"/>
    <x v="2"/>
    <x v="438"/>
    <x v="2"/>
    <n v="2025"/>
    <x v="2"/>
    <n v="1.5471826086956499E-3"/>
    <s v="High"/>
    <n v="9"/>
  </r>
  <r>
    <s v="ORD0441"/>
    <d v="2025-06-22T00:00:00"/>
    <s v="CUST076"/>
    <s v="Pooja Rao"/>
    <x v="4"/>
    <x v="0"/>
    <s v="Accessories"/>
    <x v="3"/>
    <s v="Kolkata"/>
    <s v="West Bengal"/>
    <n v="3"/>
    <n v="3240"/>
    <x v="4"/>
    <x v="439"/>
    <x v="2"/>
    <n v="2025"/>
    <x v="5"/>
    <n v="8.3351851851851903E-4"/>
    <s v="Low"/>
    <n v="6"/>
  </r>
  <r>
    <s v="ORD0442"/>
    <d v="2025-06-12T00:00:00"/>
    <s v="CUST063"/>
    <s v="Varun Verma"/>
    <x v="13"/>
    <x v="3"/>
    <s v="Office Supplies"/>
    <x v="1"/>
    <s v="Chennai"/>
    <s v="Tamil Nadu"/>
    <n v="2"/>
    <n v="375"/>
    <x v="6"/>
    <x v="440"/>
    <x v="0"/>
    <n v="2025"/>
    <x v="5"/>
    <n v="1.804E-3"/>
    <s v="Low"/>
    <n v="6"/>
  </r>
  <r>
    <s v="ORD0443"/>
    <d v="2025-12-07T00:00:00"/>
    <s v="CUST046"/>
    <s v="Pooja Patel"/>
    <x v="11"/>
    <x v="0"/>
    <s v="Computers"/>
    <x v="3"/>
    <s v="Kolkata"/>
    <s v="West Bengal"/>
    <n v="5"/>
    <n v="50750"/>
    <x v="1"/>
    <x v="441"/>
    <x v="4"/>
    <n v="2025"/>
    <x v="8"/>
    <n v="3.2058522167487699E-4"/>
    <s v="High"/>
    <n v="12"/>
  </r>
  <r>
    <s v="ORD0444"/>
    <d v="2025-01-01T00:00:00"/>
    <s v="CUST017"/>
    <s v="Rahul Gupta"/>
    <x v="0"/>
    <x v="0"/>
    <s v="Accessories"/>
    <x v="2"/>
    <s v="Pune"/>
    <s v="Maharashtra"/>
    <n v="5"/>
    <n v="7650"/>
    <x v="5"/>
    <x v="442"/>
    <x v="0"/>
    <n v="2025"/>
    <x v="9"/>
    <n v="1.91245751633987E-3"/>
    <s v="Low"/>
    <n v="1"/>
  </r>
  <r>
    <s v="ORD0445"/>
    <d v="2025-11-05T00:00:00"/>
    <s v="CUST005"/>
    <s v="Aarav Reddy"/>
    <x v="0"/>
    <x v="0"/>
    <s v="Accessories"/>
    <x v="2"/>
    <s v="Mumbai"/>
    <s v="Maharashtra"/>
    <n v="3"/>
    <n v="3780"/>
    <x v="1"/>
    <x v="443"/>
    <x v="0"/>
    <n v="2025"/>
    <x v="1"/>
    <n v="1.9693915343915302E-3"/>
    <s v="Low"/>
    <n v="11"/>
  </r>
  <r>
    <s v="ORD0446"/>
    <d v="2025-09-12T00:00:00"/>
    <s v="CUST014"/>
    <s v="Meera Nair"/>
    <x v="7"/>
    <x v="0"/>
    <s v="Accessories"/>
    <x v="0"/>
    <s v="Jaipur"/>
    <s v="Rajasthan"/>
    <n v="2"/>
    <n v="810"/>
    <x v="4"/>
    <x v="444"/>
    <x v="4"/>
    <n v="2025"/>
    <x v="2"/>
    <n v="2.0312345679012302E-3"/>
    <s v="Low"/>
    <n v="9"/>
  </r>
  <r>
    <s v="ORD0447"/>
    <d v="2025-02-15T00:00:00"/>
    <s v="CUST022"/>
    <s v="Arjun Verma"/>
    <x v="13"/>
    <x v="3"/>
    <s v="Office Supplies"/>
    <x v="0"/>
    <s v="Delhi"/>
    <s v="Delhi"/>
    <n v="3"/>
    <n v="637.5"/>
    <x v="5"/>
    <x v="445"/>
    <x v="3"/>
    <n v="2025"/>
    <x v="10"/>
    <n v="4.4423529411764698E-4"/>
    <s v="Low"/>
    <n v="2"/>
  </r>
  <r>
    <s v="ORD0448"/>
    <d v="2025-02-25T00:00:00"/>
    <s v="CUST045"/>
    <s v="Aditya Reddy"/>
    <x v="8"/>
    <x v="0"/>
    <s v="Phones"/>
    <x v="2"/>
    <s v="Pune"/>
    <s v="Maharashtra"/>
    <n v="1"/>
    <n v="28000"/>
    <x v="2"/>
    <x v="446"/>
    <x v="1"/>
    <n v="2025"/>
    <x v="10"/>
    <n v="1.5718749999999999E-3"/>
    <s v="Low"/>
    <n v="2"/>
  </r>
  <r>
    <s v="ORD0449"/>
    <d v="2025-07-13T00:00:00"/>
    <s v="CUST053"/>
    <s v="Divya Sharma"/>
    <x v="6"/>
    <x v="1"/>
    <s v="Tables"/>
    <x v="1"/>
    <s v="Chennai"/>
    <s v="Tamil Nadu"/>
    <n v="3"/>
    <n v="28800"/>
    <x v="3"/>
    <x v="447"/>
    <x v="0"/>
    <n v="2025"/>
    <x v="3"/>
    <n v="7.36291666666667E-4"/>
    <s v="Low"/>
    <n v="7"/>
  </r>
  <r>
    <s v="ORD0450"/>
    <d v="2025-08-20T00:00:00"/>
    <s v="CUST029"/>
    <s v="Kavya Sharma"/>
    <x v="0"/>
    <x v="0"/>
    <s v="Accessories"/>
    <x v="0"/>
    <s v="Delhi"/>
    <s v="Delhi"/>
    <n v="1"/>
    <n v="1260"/>
    <x v="1"/>
    <x v="448"/>
    <x v="4"/>
    <n v="2025"/>
    <x v="11"/>
    <n v="1.6703174603174601E-3"/>
    <s v="Low"/>
    <n v="8"/>
  </r>
  <r>
    <s v="ORD0451"/>
    <d v="2025-02-07T00:00:00"/>
    <s v="CUST034"/>
    <s v="Rohan Kumar"/>
    <x v="4"/>
    <x v="0"/>
    <s v="Accessories"/>
    <x v="2"/>
    <s v="Ahmedabad"/>
    <s v="Gujarat"/>
    <n v="3"/>
    <n v="3420"/>
    <x v="0"/>
    <x v="449"/>
    <x v="3"/>
    <n v="2025"/>
    <x v="10"/>
    <n v="2.4557602339181301E-3"/>
    <s v="Low"/>
    <n v="2"/>
  </r>
  <r>
    <s v="ORD0452"/>
    <d v="2025-02-17T00:00:00"/>
    <s v="CUST071"/>
    <s v="Divya Kumar"/>
    <x v="7"/>
    <x v="0"/>
    <s v="Accessories"/>
    <x v="2"/>
    <s v="Ahmedabad"/>
    <s v="Gujarat"/>
    <n v="3"/>
    <n v="1080"/>
    <x v="3"/>
    <x v="450"/>
    <x v="3"/>
    <n v="2025"/>
    <x v="10"/>
    <n v="1.9239814814814801E-3"/>
    <s v="Low"/>
    <n v="2"/>
  </r>
  <r>
    <s v="ORD0453"/>
    <d v="2025-03-26T00:00:00"/>
    <s v="CUST056"/>
    <s v="Rahul Reddy"/>
    <x v="13"/>
    <x v="3"/>
    <s v="Office Supplies"/>
    <x v="3"/>
    <s v="Kolkata"/>
    <s v="West Bengal"/>
    <n v="5"/>
    <n v="1062.5"/>
    <x v="5"/>
    <x v="451"/>
    <x v="1"/>
    <n v="2025"/>
    <x v="7"/>
    <n v="7.7628235294117595E-4"/>
    <s v="Low"/>
    <n v="3"/>
  </r>
  <r>
    <s v="ORD0454"/>
    <d v="2025-12-23T00:00:00"/>
    <s v="CUST025"/>
    <s v="Shreya Patel"/>
    <x v="2"/>
    <x v="1"/>
    <s v="Chairs"/>
    <x v="2"/>
    <s v="Ahmedabad"/>
    <s v="Gujarat"/>
    <n v="5"/>
    <n v="31875"/>
    <x v="6"/>
    <x v="452"/>
    <x v="4"/>
    <n v="2025"/>
    <x v="8"/>
    <n v="1.8135686274509801E-3"/>
    <s v="High"/>
    <n v="12"/>
  </r>
  <r>
    <s v="ORD0455"/>
    <d v="2025-02-19T00:00:00"/>
    <s v="CUST039"/>
    <s v="Ananya Reddy"/>
    <x v="11"/>
    <x v="0"/>
    <s v="Computers"/>
    <x v="1"/>
    <s v="Hyderabad"/>
    <s v="Telangana"/>
    <n v="1"/>
    <n v="12325"/>
    <x v="5"/>
    <x v="453"/>
    <x v="1"/>
    <n v="2025"/>
    <x v="10"/>
    <n v="1.3285922920892501E-3"/>
    <s v="Low"/>
    <n v="2"/>
  </r>
  <r>
    <s v="ORD0456"/>
    <d v="2025-01-02T00:00:00"/>
    <s v="CUST007"/>
    <s v="Aarav Gupta"/>
    <x v="14"/>
    <x v="0"/>
    <s v="Audio"/>
    <x v="2"/>
    <s v="Mumbai"/>
    <s v="Maharashtra"/>
    <n v="4"/>
    <n v="12800"/>
    <x v="2"/>
    <x v="454"/>
    <x v="0"/>
    <n v="2025"/>
    <x v="9"/>
    <n v="1.3891015624999999E-3"/>
    <s v="Low"/>
    <n v="1"/>
  </r>
  <r>
    <s v="ORD0457"/>
    <d v="2025-02-19T00:00:00"/>
    <s v="CUST062"/>
    <s v="Kiran Nair"/>
    <x v="11"/>
    <x v="0"/>
    <s v="Computers"/>
    <x v="3"/>
    <s v="Kolkata"/>
    <s v="West Bengal"/>
    <n v="1"/>
    <n v="13775"/>
    <x v="0"/>
    <x v="455"/>
    <x v="3"/>
    <n v="2025"/>
    <x v="10"/>
    <n v="1.00519056261343E-3"/>
    <s v="Low"/>
    <n v="2"/>
  </r>
  <r>
    <s v="ORD0458"/>
    <d v="2025-03-01T00:00:00"/>
    <s v="CUST061"/>
    <s v="Isha Kumar"/>
    <x v="12"/>
    <x v="0"/>
    <s v="Office Equipment"/>
    <x v="2"/>
    <s v="Pune"/>
    <s v="Maharashtra"/>
    <n v="3"/>
    <n v="24150"/>
    <x v="1"/>
    <x v="456"/>
    <x v="4"/>
    <n v="2025"/>
    <x v="7"/>
    <n v="6.2811180124223596E-4"/>
    <s v="Low"/>
    <n v="3"/>
  </r>
  <r>
    <s v="ORD0459"/>
    <d v="2025-10-06T00:00:00"/>
    <s v="CUST012"/>
    <s v="Vikram Nair"/>
    <x v="13"/>
    <x v="3"/>
    <s v="Office Supplies"/>
    <x v="1"/>
    <s v="Chennai"/>
    <s v="Tamil Nadu"/>
    <n v="4"/>
    <n v="950"/>
    <x v="0"/>
    <x v="457"/>
    <x v="1"/>
    <n v="2025"/>
    <x v="6"/>
    <n v="1.3943157894736799E-3"/>
    <s v="Low"/>
    <n v="10"/>
  </r>
  <r>
    <s v="ORD0460"/>
    <d v="2025-05-15T00:00:00"/>
    <s v="CUST058"/>
    <s v="Rohan Verma"/>
    <x v="1"/>
    <x v="0"/>
    <s v="Computers"/>
    <x v="2"/>
    <s v="Ahmedabad"/>
    <s v="Gujarat"/>
    <n v="4"/>
    <n v="187000"/>
    <x v="5"/>
    <x v="458"/>
    <x v="0"/>
    <n v="2025"/>
    <x v="0"/>
    <n v="7.1289732620320896E-4"/>
    <s v="High"/>
    <n v="5"/>
  </r>
  <r>
    <s v="ORD0461"/>
    <d v="2025-12-23T00:00:00"/>
    <s v="CUST008"/>
    <s v="Isha Rao"/>
    <x v="0"/>
    <x v="0"/>
    <s v="Accessories"/>
    <x v="2"/>
    <s v="Mumbai"/>
    <s v="Maharashtra"/>
    <n v="1"/>
    <n v="1800"/>
    <x v="2"/>
    <x v="459"/>
    <x v="2"/>
    <n v="2025"/>
    <x v="8"/>
    <n v="2.1362777777777799E-3"/>
    <s v="Low"/>
    <n v="12"/>
  </r>
  <r>
    <s v="ORD0462"/>
    <d v="2025-10-11T00:00:00"/>
    <s v="CUST076"/>
    <s v="Pooja Rao"/>
    <x v="11"/>
    <x v="0"/>
    <s v="Computers"/>
    <x v="3"/>
    <s v="Kolkata"/>
    <s v="West Bengal"/>
    <n v="1"/>
    <n v="10150"/>
    <x v="1"/>
    <x v="460"/>
    <x v="0"/>
    <n v="2025"/>
    <x v="6"/>
    <n v="5.8227586206896595E-4"/>
    <s v="Low"/>
    <n v="10"/>
  </r>
  <r>
    <s v="ORD0463"/>
    <d v="2025-05-01T00:00:00"/>
    <s v="CUST061"/>
    <s v="Isha Kumar"/>
    <x v="5"/>
    <x v="3"/>
    <s v="Office Supplies"/>
    <x v="2"/>
    <s v="Pune"/>
    <s v="Maharashtra"/>
    <n v="4"/>
    <n v="648"/>
    <x v="4"/>
    <x v="461"/>
    <x v="3"/>
    <n v="2025"/>
    <x v="0"/>
    <n v="5.3225308641975297E-4"/>
    <s v="Low"/>
    <n v="5"/>
  </r>
  <r>
    <s v="ORD0464"/>
    <d v="2025-09-22T00:00:00"/>
    <s v="CUST065"/>
    <s v="Aditya Sharma"/>
    <x v="5"/>
    <x v="3"/>
    <s v="Office Supplies"/>
    <x v="0"/>
    <s v="Jaipur"/>
    <s v="Rajasthan"/>
    <n v="5"/>
    <n v="675"/>
    <x v="6"/>
    <x v="462"/>
    <x v="2"/>
    <n v="2025"/>
    <x v="2"/>
    <n v="2.1733333333333301E-3"/>
    <s v="Low"/>
    <n v="9"/>
  </r>
  <r>
    <s v="ORD0465"/>
    <d v="2025-04-19T00:00:00"/>
    <s v="CUST023"/>
    <s v="Sneha Nair"/>
    <x v="0"/>
    <x v="0"/>
    <s v="Accessories"/>
    <x v="0"/>
    <s v="Delhi"/>
    <s v="Delhi"/>
    <n v="2"/>
    <n v="3420"/>
    <x v="0"/>
    <x v="463"/>
    <x v="2"/>
    <n v="2025"/>
    <x v="4"/>
    <n v="7.7555555555555602E-4"/>
    <s v="Low"/>
    <n v="4"/>
  </r>
  <r>
    <s v="ORD0466"/>
    <d v="2025-11-18T00:00:00"/>
    <s v="CUST026"/>
    <s v="Kavya Patel"/>
    <x v="12"/>
    <x v="0"/>
    <s v="Office Equipment"/>
    <x v="3"/>
    <s v="Kolkata"/>
    <s v="West Bengal"/>
    <n v="2"/>
    <n v="16100"/>
    <x v="1"/>
    <x v="464"/>
    <x v="3"/>
    <n v="2025"/>
    <x v="1"/>
    <n v="1.15028571428571E-3"/>
    <s v="Low"/>
    <n v="11"/>
  </r>
  <r>
    <s v="ORD0467"/>
    <d v="2025-10-12T00:00:00"/>
    <s v="CUST012"/>
    <s v="Vikram Nair"/>
    <x v="2"/>
    <x v="1"/>
    <s v="Chairs"/>
    <x v="1"/>
    <s v="Chennai"/>
    <s v="Tamil Nadu"/>
    <n v="4"/>
    <n v="27200"/>
    <x v="3"/>
    <x v="465"/>
    <x v="2"/>
    <n v="2025"/>
    <x v="6"/>
    <n v="9.1415441176470602E-4"/>
    <s v="Low"/>
    <n v="10"/>
  </r>
  <r>
    <s v="ORD0468"/>
    <d v="2025-12-25T00:00:00"/>
    <s v="CUST002"/>
    <s v="Kavya Kumar"/>
    <x v="9"/>
    <x v="2"/>
    <s v="Travel"/>
    <x v="1"/>
    <s v="Hyderabad"/>
    <s v="Telangana"/>
    <n v="5"/>
    <n v="2800"/>
    <x v="3"/>
    <x v="466"/>
    <x v="2"/>
    <n v="2025"/>
    <x v="8"/>
    <n v="1.23532142857143E-3"/>
    <s v="Low"/>
    <n v="12"/>
  </r>
  <r>
    <s v="ORD0469"/>
    <d v="2025-10-18T00:00:00"/>
    <s v="CUST020"/>
    <s v="Kavya Singh"/>
    <x v="0"/>
    <x v="0"/>
    <s v="Accessories"/>
    <x v="1"/>
    <s v="Chennai"/>
    <s v="Tamil Nadu"/>
    <n v="5"/>
    <n v="7200"/>
    <x v="3"/>
    <x v="467"/>
    <x v="3"/>
    <n v="2025"/>
    <x v="6"/>
    <n v="1.44693055555556E-3"/>
    <s v="Low"/>
    <n v="10"/>
  </r>
  <r>
    <s v="ORD0470"/>
    <d v="2025-02-21T00:00:00"/>
    <s v="CUST073"/>
    <s v="Divya Kumar"/>
    <x v="9"/>
    <x v="2"/>
    <s v="Travel"/>
    <x v="3"/>
    <s v="Kolkata"/>
    <s v="West Bengal"/>
    <n v="3"/>
    <n v="1470"/>
    <x v="1"/>
    <x v="468"/>
    <x v="2"/>
    <n v="2025"/>
    <x v="10"/>
    <n v="1.0133333333333301E-3"/>
    <s v="Low"/>
    <n v="2"/>
  </r>
  <r>
    <s v="ORD0471"/>
    <d v="2025-12-02T00:00:00"/>
    <s v="CUST034"/>
    <s v="Rohan Kumar"/>
    <x v="2"/>
    <x v="1"/>
    <s v="Chairs"/>
    <x v="2"/>
    <s v="Ahmedabad"/>
    <s v="Gujarat"/>
    <n v="4"/>
    <n v="27200"/>
    <x v="3"/>
    <x v="469"/>
    <x v="4"/>
    <n v="2025"/>
    <x v="8"/>
    <n v="1.5991911764705899E-3"/>
    <s v="Low"/>
    <n v="12"/>
  </r>
  <r>
    <s v="ORD0472"/>
    <d v="2025-11-13T00:00:00"/>
    <s v="CUST052"/>
    <s v="Aarav Iyer"/>
    <x v="0"/>
    <x v="0"/>
    <s v="Accessories"/>
    <x v="0"/>
    <s v="Delhi"/>
    <s v="Delhi"/>
    <n v="5"/>
    <n v="6750"/>
    <x v="6"/>
    <x v="470"/>
    <x v="4"/>
    <n v="2025"/>
    <x v="1"/>
    <n v="1.66308148148148E-3"/>
    <s v="Low"/>
    <n v="11"/>
  </r>
  <r>
    <s v="ORD0473"/>
    <d v="2025-09-01T00:00:00"/>
    <s v="CUST031"/>
    <s v="Vikram Iyer"/>
    <x v="1"/>
    <x v="0"/>
    <s v="Computers"/>
    <x v="0"/>
    <s v="Delhi"/>
    <s v="Delhi"/>
    <n v="3"/>
    <n v="148500"/>
    <x v="4"/>
    <x v="471"/>
    <x v="4"/>
    <n v="2025"/>
    <x v="2"/>
    <n v="4.3611919191919202E-4"/>
    <s v="High"/>
    <n v="9"/>
  </r>
  <r>
    <s v="ORD0474"/>
    <d v="2025-09-09T00:00:00"/>
    <s v="CUST040"/>
    <s v="Sneha Rao"/>
    <x v="8"/>
    <x v="0"/>
    <s v="Phones"/>
    <x v="0"/>
    <s v="Jaipur"/>
    <s v="Rajasthan"/>
    <n v="1"/>
    <n v="19600"/>
    <x v="1"/>
    <x v="472"/>
    <x v="2"/>
    <n v="2025"/>
    <x v="2"/>
    <n v="4.3055612244898001E-4"/>
    <s v="Low"/>
    <n v="9"/>
  </r>
  <r>
    <s v="ORD0475"/>
    <d v="2025-08-02T00:00:00"/>
    <s v="CUST042"/>
    <s v="Shreya Verma"/>
    <x v="8"/>
    <x v="0"/>
    <s v="Phones"/>
    <x v="2"/>
    <s v="Ahmedabad"/>
    <s v="Gujarat"/>
    <n v="5"/>
    <n v="105000"/>
    <x v="6"/>
    <x v="473"/>
    <x v="2"/>
    <n v="2025"/>
    <x v="11"/>
    <n v="2.02500952380952E-4"/>
    <s v="High"/>
    <n v="8"/>
  </r>
  <r>
    <s v="ORD0476"/>
    <d v="2025-09-22T00:00:00"/>
    <s v="CUST063"/>
    <s v="Varun Verma"/>
    <x v="9"/>
    <x v="2"/>
    <s v="Travel"/>
    <x v="1"/>
    <s v="Chennai"/>
    <s v="Tamil Nadu"/>
    <n v="3"/>
    <n v="1470"/>
    <x v="1"/>
    <x v="474"/>
    <x v="3"/>
    <n v="2025"/>
    <x v="2"/>
    <n v="-2.8122448979591802E-4"/>
    <s v="Low"/>
    <n v="9"/>
  </r>
  <r>
    <s v="ORD0477"/>
    <d v="2025-09-17T00:00:00"/>
    <s v="CUST040"/>
    <s v="Sneha Rao"/>
    <x v="3"/>
    <x v="2"/>
    <s v="Travel"/>
    <x v="0"/>
    <s v="Jaipur"/>
    <s v="Rajasthan"/>
    <n v="4"/>
    <n v="6080"/>
    <x v="0"/>
    <x v="475"/>
    <x v="0"/>
    <n v="2025"/>
    <x v="2"/>
    <n v="2.19549342105263E-3"/>
    <s v="Low"/>
    <n v="9"/>
  </r>
  <r>
    <s v="ORD0478"/>
    <d v="2025-04-09T00:00:00"/>
    <s v="CUST004"/>
    <s v="Akash Rao"/>
    <x v="0"/>
    <x v="0"/>
    <s v="Accessories"/>
    <x v="1"/>
    <s v="Bengaluru"/>
    <s v="Karnataka"/>
    <n v="2"/>
    <n v="2520"/>
    <x v="1"/>
    <x v="476"/>
    <x v="3"/>
    <n v="2025"/>
    <x v="4"/>
    <n v="2.9043650793650799E-4"/>
    <s v="Low"/>
    <n v="4"/>
  </r>
  <r>
    <s v="ORD0479"/>
    <d v="2025-04-12T00:00:00"/>
    <s v="CUST047"/>
    <s v="Aarav Singh"/>
    <x v="3"/>
    <x v="2"/>
    <s v="Travel"/>
    <x v="2"/>
    <s v="Ahmedabad"/>
    <s v="Gujarat"/>
    <n v="3"/>
    <n v="4320"/>
    <x v="4"/>
    <x v="477"/>
    <x v="3"/>
    <n v="2025"/>
    <x v="4"/>
    <n v="2.1207407407407399E-3"/>
    <s v="Low"/>
    <n v="4"/>
  </r>
  <r>
    <s v="ORD0480"/>
    <d v="2025-07-10T00:00:00"/>
    <s v="CUST004"/>
    <s v="Akash Rao"/>
    <x v="11"/>
    <x v="0"/>
    <s v="Computers"/>
    <x v="1"/>
    <s v="Bengaluru"/>
    <s v="Karnataka"/>
    <n v="4"/>
    <n v="46400"/>
    <x v="3"/>
    <x v="478"/>
    <x v="2"/>
    <n v="2025"/>
    <x v="3"/>
    <n v="8.1194612068965501E-4"/>
    <s v="High"/>
    <n v="7"/>
  </r>
  <r>
    <s v="ORD0481"/>
    <d v="2025-06-29T00:00:00"/>
    <s v="CUST076"/>
    <s v="Pooja Rao"/>
    <x v="10"/>
    <x v="1"/>
    <s v="Storage"/>
    <x v="3"/>
    <s v="Kolkata"/>
    <s v="West Bengal"/>
    <n v="3"/>
    <n v="18525"/>
    <x v="0"/>
    <x v="479"/>
    <x v="3"/>
    <n v="2025"/>
    <x v="5"/>
    <n v="2.3429743589743601E-3"/>
    <s v="Low"/>
    <n v="6"/>
  </r>
  <r>
    <s v="ORD0482"/>
    <d v="2025-07-17T00:00:00"/>
    <s v="CUST037"/>
    <s v="Meera Kumar"/>
    <x v="1"/>
    <x v="0"/>
    <s v="Computers"/>
    <x v="1"/>
    <s v="Hyderabad"/>
    <s v="Telangana"/>
    <n v="1"/>
    <n v="52250"/>
    <x v="0"/>
    <x v="480"/>
    <x v="1"/>
    <n v="2025"/>
    <x v="3"/>
    <n v="2.3101645933014401E-3"/>
    <s v="High"/>
    <n v="7"/>
  </r>
  <r>
    <s v="ORD0483"/>
    <d v="2025-04-26T00:00:00"/>
    <s v="CUST029"/>
    <s v="Kavya Sharma"/>
    <x v="13"/>
    <x v="3"/>
    <s v="Office Supplies"/>
    <x v="0"/>
    <s v="Delhi"/>
    <s v="Delhi"/>
    <n v="2"/>
    <n v="450"/>
    <x v="4"/>
    <x v="481"/>
    <x v="3"/>
    <n v="2025"/>
    <x v="4"/>
    <n v="1.7748888888888901E-3"/>
    <s v="Low"/>
    <n v="4"/>
  </r>
  <r>
    <s v="ORD0484"/>
    <d v="2025-03-09T00:00:00"/>
    <s v="CUST061"/>
    <s v="Isha Kumar"/>
    <x v="7"/>
    <x v="0"/>
    <s v="Accessories"/>
    <x v="2"/>
    <s v="Pune"/>
    <s v="Maharashtra"/>
    <n v="2"/>
    <n v="720"/>
    <x v="3"/>
    <x v="482"/>
    <x v="0"/>
    <n v="2025"/>
    <x v="7"/>
    <n v="1.88986111111111E-3"/>
    <s v="Low"/>
    <n v="3"/>
  </r>
  <r>
    <s v="ORD0485"/>
    <d v="2025-12-30T00:00:00"/>
    <s v="CUST040"/>
    <s v="Sneha Rao"/>
    <x v="3"/>
    <x v="2"/>
    <s v="Travel"/>
    <x v="0"/>
    <s v="Jaipur"/>
    <s v="Rajasthan"/>
    <n v="3"/>
    <n v="4080"/>
    <x v="5"/>
    <x v="483"/>
    <x v="2"/>
    <n v="2025"/>
    <x v="8"/>
    <n v="1.9716176470588199E-3"/>
    <s v="Low"/>
    <n v="12"/>
  </r>
  <r>
    <s v="ORD0486"/>
    <d v="2025-08-27T00:00:00"/>
    <s v="CUST033"/>
    <s v="Nikhil Patel"/>
    <x v="11"/>
    <x v="0"/>
    <s v="Computers"/>
    <x v="2"/>
    <s v="Pune"/>
    <s v="Maharashtra"/>
    <n v="3"/>
    <n v="32625"/>
    <x v="6"/>
    <x v="484"/>
    <x v="0"/>
    <n v="2025"/>
    <x v="11"/>
    <n v="9.5152183908046005E-4"/>
    <s v="High"/>
    <n v="8"/>
  </r>
  <r>
    <s v="ORD0487"/>
    <d v="2025-09-19T00:00:00"/>
    <s v="CUST014"/>
    <s v="Meera Nair"/>
    <x v="1"/>
    <x v="0"/>
    <s v="Computers"/>
    <x v="0"/>
    <s v="Jaipur"/>
    <s v="Rajasthan"/>
    <n v="3"/>
    <n v="132000"/>
    <x v="3"/>
    <x v="485"/>
    <x v="4"/>
    <n v="2025"/>
    <x v="2"/>
    <n v="1.3901590909090899E-3"/>
    <s v="High"/>
    <n v="9"/>
  </r>
  <r>
    <s v="ORD0488"/>
    <d v="2025-02-02T00:00:00"/>
    <s v="CUST014"/>
    <s v="Meera Nair"/>
    <x v="6"/>
    <x v="1"/>
    <s v="Tables"/>
    <x v="0"/>
    <s v="Jaipur"/>
    <s v="Rajasthan"/>
    <n v="3"/>
    <n v="32400"/>
    <x v="4"/>
    <x v="486"/>
    <x v="4"/>
    <n v="2025"/>
    <x v="10"/>
    <n v="1.66581790123457E-3"/>
    <s v="High"/>
    <n v="2"/>
  </r>
  <r>
    <s v="ORD0489"/>
    <d v="2025-03-18T00:00:00"/>
    <s v="CUST039"/>
    <s v="Ananya Reddy"/>
    <x v="11"/>
    <x v="0"/>
    <s v="Computers"/>
    <x v="1"/>
    <s v="Hyderabad"/>
    <s v="Telangana"/>
    <n v="5"/>
    <n v="50750"/>
    <x v="1"/>
    <x v="487"/>
    <x v="0"/>
    <n v="2025"/>
    <x v="7"/>
    <n v="6.3802364532019695E-4"/>
    <s v="High"/>
    <n v="3"/>
  </r>
  <r>
    <s v="ORD0490"/>
    <d v="2025-06-13T00:00:00"/>
    <s v="CUST052"/>
    <s v="Aarav Iyer"/>
    <x v="13"/>
    <x v="3"/>
    <s v="Office Supplies"/>
    <x v="0"/>
    <s v="Delhi"/>
    <s v="Delhi"/>
    <n v="2"/>
    <n v="375"/>
    <x v="6"/>
    <x v="488"/>
    <x v="4"/>
    <n v="2025"/>
    <x v="5"/>
    <n v="4.0000000000000003E-5"/>
    <s v="Low"/>
    <n v="6"/>
  </r>
  <r>
    <s v="ORD0491"/>
    <d v="2025-08-03T00:00:00"/>
    <s v="CUST034"/>
    <s v="Rohan Kumar"/>
    <x v="7"/>
    <x v="0"/>
    <s v="Accessories"/>
    <x v="2"/>
    <s v="Ahmedabad"/>
    <s v="Gujarat"/>
    <n v="4"/>
    <n v="1530"/>
    <x v="5"/>
    <x v="489"/>
    <x v="0"/>
    <n v="2025"/>
    <x v="11"/>
    <n v="1.7548366013071901E-3"/>
    <s v="Low"/>
    <n v="8"/>
  </r>
  <r>
    <s v="ORD0492"/>
    <d v="2025-04-24T00:00:00"/>
    <s v="CUST025"/>
    <s v="Shreya Patel"/>
    <x v="14"/>
    <x v="0"/>
    <s v="Audio"/>
    <x v="2"/>
    <s v="Ahmedabad"/>
    <s v="Gujarat"/>
    <n v="5"/>
    <n v="12000"/>
    <x v="6"/>
    <x v="490"/>
    <x v="4"/>
    <n v="2025"/>
    <x v="4"/>
    <n v="1.3032166666666701E-3"/>
    <s v="Low"/>
    <n v="4"/>
  </r>
  <r>
    <s v="ORD0493"/>
    <d v="2025-03-29T00:00:00"/>
    <s v="CUST065"/>
    <s v="Aditya Sharma"/>
    <x v="8"/>
    <x v="0"/>
    <s v="Phones"/>
    <x v="0"/>
    <s v="Jaipur"/>
    <s v="Rajasthan"/>
    <n v="5"/>
    <n v="133000"/>
    <x v="0"/>
    <x v="491"/>
    <x v="4"/>
    <n v="2025"/>
    <x v="7"/>
    <n v="1.22872030075188E-3"/>
    <s v="High"/>
    <n v="3"/>
  </r>
  <r>
    <s v="ORD0494"/>
    <d v="2025-04-04T00:00:00"/>
    <s v="CUST072"/>
    <s v="Rohan Iyer"/>
    <x v="9"/>
    <x v="2"/>
    <s v="Travel"/>
    <x v="0"/>
    <s v="Jaipur"/>
    <s v="Rajasthan"/>
    <n v="3"/>
    <n v="1575"/>
    <x v="6"/>
    <x v="492"/>
    <x v="4"/>
    <n v="2025"/>
    <x v="4"/>
    <n v="2.5657142857142898E-4"/>
    <s v="Low"/>
    <n v="4"/>
  </r>
  <r>
    <s v="ORD0495"/>
    <d v="2025-06-19T00:00:00"/>
    <s v="CUST054"/>
    <s v="Meera Singh"/>
    <x v="9"/>
    <x v="2"/>
    <s v="Travel"/>
    <x v="2"/>
    <s v="Mumbai"/>
    <s v="Maharashtra"/>
    <n v="3"/>
    <n v="1890"/>
    <x v="4"/>
    <x v="493"/>
    <x v="3"/>
    <n v="2025"/>
    <x v="5"/>
    <n v="1.6551851851851901E-3"/>
    <s v="Low"/>
    <n v="6"/>
  </r>
  <r>
    <s v="ORD0496"/>
    <d v="2025-11-21T00:00:00"/>
    <s v="CUST061"/>
    <s v="Isha Kumar"/>
    <x v="1"/>
    <x v="0"/>
    <s v="Computers"/>
    <x v="2"/>
    <s v="Pune"/>
    <s v="Maharashtra"/>
    <n v="5"/>
    <n v="220000"/>
    <x v="3"/>
    <x v="494"/>
    <x v="1"/>
    <n v="2025"/>
    <x v="1"/>
    <n v="2.2529940909090901E-3"/>
    <s v="High"/>
    <n v="11"/>
  </r>
  <r>
    <s v="ORD0497"/>
    <d v="2025-12-15T00:00:00"/>
    <s v="CUST065"/>
    <s v="Aditya Sharma"/>
    <x v="4"/>
    <x v="0"/>
    <s v="Accessories"/>
    <x v="0"/>
    <s v="Jaipur"/>
    <s v="Rajasthan"/>
    <n v="4"/>
    <n v="3840"/>
    <x v="3"/>
    <x v="495"/>
    <x v="1"/>
    <n v="2025"/>
    <x v="8"/>
    <n v="9.6968749999999995E-4"/>
    <s v="Low"/>
    <n v="12"/>
  </r>
  <r>
    <s v="ORD0498"/>
    <d v="2025-06-25T00:00:00"/>
    <s v="CUST018"/>
    <s v="Shreya Nair"/>
    <x v="11"/>
    <x v="0"/>
    <s v="Computers"/>
    <x v="0"/>
    <s v="Jaipur"/>
    <s v="Rajasthan"/>
    <n v="4"/>
    <n v="46400"/>
    <x v="3"/>
    <x v="496"/>
    <x v="1"/>
    <n v="2025"/>
    <x v="5"/>
    <n v="1.6923663793103399E-3"/>
    <s v="High"/>
    <n v="6"/>
  </r>
  <r>
    <s v="ORD0499"/>
    <d v="2025-04-03T00:00:00"/>
    <s v="CUST041"/>
    <s v="Rahul Rao"/>
    <x v="12"/>
    <x v="0"/>
    <s v="Office Equipment"/>
    <x v="0"/>
    <s v="Gurugram"/>
    <s v="Haryana"/>
    <n v="1"/>
    <n v="9775"/>
    <x v="5"/>
    <x v="497"/>
    <x v="4"/>
    <n v="2025"/>
    <x v="4"/>
    <n v="7.9527365728900305E-4"/>
    <s v="Low"/>
    <n v="4"/>
  </r>
  <r>
    <s v="ORD0500"/>
    <d v="2025-08-20T00:00:00"/>
    <s v="CUST008"/>
    <s v="Isha Rao"/>
    <x v="1"/>
    <x v="0"/>
    <s v="Computers"/>
    <x v="2"/>
    <s v="Mumbai"/>
    <s v="Maharashtra"/>
    <n v="3"/>
    <n v="156750"/>
    <x v="0"/>
    <x v="498"/>
    <x v="1"/>
    <n v="2025"/>
    <x v="11"/>
    <n v="2.2013110047846901E-3"/>
    <s v="High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F81A4-AC0C-4F64-BB12-D79B3259CC3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4:B19" firstHeaderRow="1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CC5EF-1763-4753-8C12-BEC01F4A88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D8" firstHeaderRow="0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1" baseField="0" baseItem="0"/>
    <dataField name="Sum of Profit" fld="13" baseField="0" baseItem="0"/>
    <dataField name="Sum of Quantity" fld="10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410EF-3912-4A38-B59B-90DE4467D7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5:B30" firstHeaderRow="1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3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CE180-6795-4D51-B5A7-7D57AFE5A0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16" firstHeaderRow="0" firstDataRow="1" firstDataCol="1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13">
        <item x="9"/>
        <item x="10"/>
        <item x="7"/>
        <item x="4"/>
        <item x="0"/>
        <item x="5"/>
        <item x="3"/>
        <item x="11"/>
        <item x="2"/>
        <item x="6"/>
        <item x="1"/>
        <item x="8"/>
        <item t="default"/>
      </items>
    </pivotField>
    <pivotField numFmtId="10" showAll="0"/>
    <pivotField showAll="0"/>
    <pivotField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1" baseField="0" baseItem="0"/>
    <dataField name="Sum of Profit" fld="13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9532A-4BED-4E93-A0F8-E2B9F4E851F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23:B29" firstHeaderRow="1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 measureFilter="1" sortType="descending">
      <items count="16">
        <item x="3"/>
        <item x="10"/>
        <item x="6"/>
        <item x="14"/>
        <item x="0"/>
        <item x="1"/>
        <item x="11"/>
        <item x="5"/>
        <item x="2"/>
        <item x="13"/>
        <item x="12"/>
        <item x="8"/>
        <item x="7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4"/>
  </rowFields>
  <rowItems count="6">
    <i>
      <x v="5"/>
    </i>
    <i>
      <x v="11"/>
    </i>
    <i>
      <x v="2"/>
    </i>
    <i>
      <x v="6"/>
    </i>
    <i>
      <x v="10"/>
    </i>
    <i t="grand">
      <x/>
    </i>
  </rowItems>
  <colItems count="1">
    <i/>
  </colItems>
  <dataFields count="1">
    <dataField name="Sum of Profit" fld="13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FB30C-95A8-4D88-9921-05BA58C7D8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0" firstDataRow="1" firstDataCol="1"/>
  <pivotFields count="20">
    <pivotField showAll="0"/>
    <pivotField numFmtId="164" showAll="0"/>
    <pivotField showAll="0"/>
    <pivotField showAll="0"/>
    <pivotField axis="axisRow" showAll="0" sortType="descending">
      <items count="16">
        <item x="3"/>
        <item x="10"/>
        <item x="6"/>
        <item x="14"/>
        <item x="0"/>
        <item x="1"/>
        <item x="11"/>
        <item x="5"/>
        <item x="2"/>
        <item x="13"/>
        <item x="12"/>
        <item x="8"/>
        <item x="7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>
      <items count="500">
        <item x="379"/>
        <item x="57"/>
        <item x="254"/>
        <item x="64"/>
        <item x="118"/>
        <item x="266"/>
        <item x="474"/>
        <item x="20"/>
        <item x="400"/>
        <item x="389"/>
        <item x="371"/>
        <item x="149"/>
        <item x="488"/>
        <item x="281"/>
        <item x="70"/>
        <item x="409"/>
        <item x="126"/>
        <item x="247"/>
        <item x="194"/>
        <item x="329"/>
        <item x="218"/>
        <item x="91"/>
        <item x="35"/>
        <item x="215"/>
        <item x="102"/>
        <item x="270"/>
        <item x="256"/>
        <item x="176"/>
        <item x="208"/>
        <item x="224"/>
        <item x="413"/>
        <item x="445"/>
        <item x="395"/>
        <item x="223"/>
        <item x="135"/>
        <item x="15"/>
        <item x="155"/>
        <item x="461"/>
        <item x="42"/>
        <item x="99"/>
        <item x="293"/>
        <item x="19"/>
        <item x="8"/>
        <item x="492"/>
        <item x="428"/>
        <item x="230"/>
        <item x="86"/>
        <item x="62"/>
        <item x="315"/>
        <item x="334"/>
        <item x="422"/>
        <item x="267"/>
        <item x="426"/>
        <item x="66"/>
        <item x="214"/>
        <item x="386"/>
        <item x="11"/>
        <item x="148"/>
        <item x="357"/>
        <item x="131"/>
        <item x="265"/>
        <item x="269"/>
        <item x="296"/>
        <item x="440"/>
        <item x="340"/>
        <item x="128"/>
        <item x="476"/>
        <item x="160"/>
        <item x="432"/>
        <item x="81"/>
        <item x="336"/>
        <item x="481"/>
        <item x="433"/>
        <item x="451"/>
        <item x="342"/>
        <item x="34"/>
        <item x="264"/>
        <item x="116"/>
        <item x="125"/>
        <item x="354"/>
        <item x="237"/>
        <item x="47"/>
        <item x="398"/>
        <item x="217"/>
        <item x="24"/>
        <item x="396"/>
        <item x="383"/>
        <item x="33"/>
        <item x="200"/>
        <item x="363"/>
        <item x="364"/>
        <item x="351"/>
        <item x="169"/>
        <item x="411"/>
        <item x="366"/>
        <item x="317"/>
        <item x="87"/>
        <item x="36"/>
        <item x="399"/>
        <item x="368"/>
        <item x="341"/>
        <item x="457"/>
        <item x="111"/>
        <item x="381"/>
        <item x="302"/>
        <item x="482"/>
        <item x="205"/>
        <item x="25"/>
        <item x="462"/>
        <item x="184"/>
        <item x="468"/>
        <item x="388"/>
        <item x="110"/>
        <item x="26"/>
        <item x="171"/>
        <item x="321"/>
        <item x="444"/>
        <item x="392"/>
        <item x="124"/>
        <item x="261"/>
        <item x="229"/>
        <item x="161"/>
        <item x="425"/>
        <item x="348"/>
        <item x="56"/>
        <item x="373"/>
        <item x="12"/>
        <item x="190"/>
        <item x="284"/>
        <item x="142"/>
        <item x="115"/>
        <item x="122"/>
        <item x="450"/>
        <item x="448"/>
        <item x="228"/>
        <item x="300"/>
        <item x="325"/>
        <item x="309"/>
        <item x="236"/>
        <item x="212"/>
        <item x="166"/>
        <item x="69"/>
        <item x="7"/>
        <item x="83"/>
        <item x="347"/>
        <item x="287"/>
        <item x="177"/>
        <item x="167"/>
        <item x="463"/>
        <item x="318"/>
        <item x="489"/>
        <item x="439"/>
        <item x="117"/>
        <item x="129"/>
        <item x="108"/>
        <item x="43"/>
        <item x="22"/>
        <item x="273"/>
        <item x="130"/>
        <item x="216"/>
        <item x="405"/>
        <item x="493"/>
        <item x="384"/>
        <item x="259"/>
        <item x="5"/>
        <item x="227"/>
        <item x="163"/>
        <item x="423"/>
        <item x="119"/>
        <item x="48"/>
        <item x="199"/>
        <item x="210"/>
        <item x="14"/>
        <item x="272"/>
        <item x="466"/>
        <item x="109"/>
        <item x="164"/>
        <item x="231"/>
        <item x="179"/>
        <item x="150"/>
        <item x="244"/>
        <item x="495"/>
        <item x="112"/>
        <item x="408"/>
        <item x="349"/>
        <item x="434"/>
        <item x="188"/>
        <item x="459"/>
        <item x="174"/>
        <item x="328"/>
        <item x="401"/>
        <item x="437"/>
        <item x="165"/>
        <item x="394"/>
        <item x="198"/>
        <item x="157"/>
        <item x="192"/>
        <item x="29"/>
        <item x="16"/>
        <item x="222"/>
        <item x="80"/>
        <item x="207"/>
        <item x="175"/>
        <item x="304"/>
        <item x="114"/>
        <item x="94"/>
        <item x="299"/>
        <item x="106"/>
        <item x="344"/>
        <item x="285"/>
        <item x="6"/>
        <item x="59"/>
        <item x="152"/>
        <item x="374"/>
        <item x="406"/>
        <item x="197"/>
        <item x="352"/>
        <item x="242"/>
        <item x="460"/>
        <item x="280"/>
        <item x="154"/>
        <item x="44"/>
        <item x="319"/>
        <item x="187"/>
        <item x="138"/>
        <item x="301"/>
        <item x="213"/>
        <item x="303"/>
        <item x="53"/>
        <item x="443"/>
        <item x="67"/>
        <item x="60"/>
        <item x="209"/>
        <item x="248"/>
        <item x="327"/>
        <item x="397"/>
        <item x="290"/>
        <item x="497"/>
        <item x="182"/>
        <item x="178"/>
        <item x="390"/>
        <item x="39"/>
        <item x="65"/>
        <item x="483"/>
        <item x="32"/>
        <item x="252"/>
        <item x="416"/>
        <item x="173"/>
        <item x="376"/>
        <item x="449"/>
        <item x="472"/>
        <item x="276"/>
        <item x="185"/>
        <item x="45"/>
        <item x="263"/>
        <item x="477"/>
        <item x="28"/>
        <item x="181"/>
        <item x="331"/>
        <item x="191"/>
        <item x="333"/>
        <item x="316"/>
        <item x="365"/>
        <item x="107"/>
        <item x="297"/>
        <item x="467"/>
        <item x="202"/>
        <item x="380"/>
        <item x="322"/>
        <item x="335"/>
        <item x="253"/>
        <item x="74"/>
        <item x="470"/>
        <item x="96"/>
        <item x="206"/>
        <item x="140"/>
        <item x="196"/>
        <item x="51"/>
        <item x="382"/>
        <item x="46"/>
        <item x="238"/>
        <item x="250"/>
        <item x="221"/>
        <item x="225"/>
        <item x="4"/>
        <item x="68"/>
        <item x="475"/>
        <item x="289"/>
        <item x="455"/>
        <item x="436"/>
        <item x="243"/>
        <item x="37"/>
        <item x="412"/>
        <item x="369"/>
        <item x="286"/>
        <item x="442"/>
        <item x="54"/>
        <item x="183"/>
        <item x="402"/>
        <item x="277"/>
        <item x="306"/>
        <item x="123"/>
        <item x="204"/>
        <item x="41"/>
        <item x="456"/>
        <item x="490"/>
        <item x="279"/>
        <item x="151"/>
        <item x="441"/>
        <item x="72"/>
        <item x="453"/>
        <item x="113"/>
        <item x="0"/>
        <item x="350"/>
        <item x="393"/>
        <item x="339"/>
        <item x="298"/>
        <item x="454"/>
        <item x="156"/>
        <item x="18"/>
        <item x="134"/>
        <item x="9"/>
        <item x="464"/>
        <item x="292"/>
        <item x="355"/>
        <item x="417"/>
        <item x="429"/>
        <item x="104"/>
        <item x="353"/>
        <item x="260"/>
        <item x="282"/>
        <item x="189"/>
        <item x="235"/>
        <item x="447"/>
        <item x="473"/>
        <item x="358"/>
        <item x="232"/>
        <item x="356"/>
        <item x="141"/>
        <item x="420"/>
        <item x="240"/>
        <item x="168"/>
        <item x="361"/>
        <item x="100"/>
        <item x="385"/>
        <item x="404"/>
        <item x="121"/>
        <item x="93"/>
        <item x="465"/>
        <item x="387"/>
        <item x="274"/>
        <item x="13"/>
        <item x="332"/>
        <item x="427"/>
        <item x="431"/>
        <item x="312"/>
        <item x="78"/>
        <item x="146"/>
        <item x="377"/>
        <item x="145"/>
        <item x="50"/>
        <item x="159"/>
        <item x="1"/>
        <item x="291"/>
        <item x="143"/>
        <item x="226"/>
        <item x="484"/>
        <item x="30"/>
        <item x="38"/>
        <item x="73"/>
        <item x="49"/>
        <item x="258"/>
        <item x="487"/>
        <item x="139"/>
        <item x="27"/>
        <item x="97"/>
        <item x="136"/>
        <item x="343"/>
        <item x="220"/>
        <item x="58"/>
        <item x="251"/>
        <item x="79"/>
        <item x="410"/>
        <item x="295"/>
        <item x="170"/>
        <item x="337"/>
        <item x="132"/>
        <item x="234"/>
        <item x="195"/>
        <item x="323"/>
        <item x="478"/>
        <item x="419"/>
        <item x="311"/>
        <item x="245"/>
        <item x="246"/>
        <item x="346"/>
        <item x="172"/>
        <item x="92"/>
        <item x="201"/>
        <item x="103"/>
        <item x="314"/>
        <item x="31"/>
        <item x="479"/>
        <item x="360"/>
        <item x="469"/>
        <item x="446"/>
        <item x="162"/>
        <item x="219"/>
        <item x="362"/>
        <item x="98"/>
        <item x="271"/>
        <item x="61"/>
        <item x="372"/>
        <item x="288"/>
        <item x="294"/>
        <item x="305"/>
        <item x="52"/>
        <item x="330"/>
        <item x="88"/>
        <item x="89"/>
        <item x="438"/>
        <item x="313"/>
        <item x="486"/>
        <item x="40"/>
        <item x="403"/>
        <item x="158"/>
        <item x="10"/>
        <item x="324"/>
        <item x="452"/>
        <item x="320"/>
        <item x="415"/>
        <item x="310"/>
        <item x="414"/>
        <item x="233"/>
        <item x="90"/>
        <item x="23"/>
        <item x="153"/>
        <item x="144"/>
        <item x="407"/>
        <item x="471"/>
        <item x="95"/>
        <item x="147"/>
        <item x="391"/>
        <item x="424"/>
        <item x="249"/>
        <item x="17"/>
        <item x="326"/>
        <item x="2"/>
        <item x="496"/>
        <item x="367"/>
        <item x="120"/>
        <item x="133"/>
        <item x="359"/>
        <item x="241"/>
        <item x="211"/>
        <item x="275"/>
        <item x="430"/>
        <item x="75"/>
        <item x="76"/>
        <item x="421"/>
        <item x="435"/>
        <item x="180"/>
        <item x="480"/>
        <item x="137"/>
        <item x="308"/>
        <item x="186"/>
        <item x="375"/>
        <item x="85"/>
        <item x="458"/>
        <item x="418"/>
        <item x="105"/>
        <item x="345"/>
        <item x="203"/>
        <item x="239"/>
        <item x="255"/>
        <item x="370"/>
        <item x="84"/>
        <item x="491"/>
        <item x="21"/>
        <item x="3"/>
        <item x="485"/>
        <item x="268"/>
        <item x="82"/>
        <item x="101"/>
        <item x="127"/>
        <item x="378"/>
        <item x="63"/>
        <item x="283"/>
        <item x="193"/>
        <item x="307"/>
        <item x="77"/>
        <item x="71"/>
        <item x="278"/>
        <item x="498"/>
        <item x="338"/>
        <item x="262"/>
        <item x="55"/>
        <item x="257"/>
        <item x="494"/>
        <item t="default"/>
      </items>
    </pivotField>
    <pivotField showAll="0"/>
    <pivotField showAll="0"/>
    <pivotField showAll="0"/>
    <pivotField numFmtId="10" showAll="0"/>
    <pivotField showAll="0"/>
    <pivotField showAll="0"/>
  </pivotFields>
  <rowFields count="1">
    <field x="4"/>
  </rowFields>
  <rowItems count="16">
    <i>
      <x v="5"/>
    </i>
    <i>
      <x v="11"/>
    </i>
    <i>
      <x v="2"/>
    </i>
    <i>
      <x v="6"/>
    </i>
    <i>
      <x v="10"/>
    </i>
    <i>
      <x v="8"/>
    </i>
    <i>
      <x v="1"/>
    </i>
    <i>
      <x v="3"/>
    </i>
    <i>
      <x v="4"/>
    </i>
    <i>
      <x/>
    </i>
    <i>
      <x v="14"/>
    </i>
    <i>
      <x v="13"/>
    </i>
    <i>
      <x v="9"/>
    </i>
    <i>
      <x v="12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0" baseField="0" baseItem="0"/>
    <dataField name="Sum of Sales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174AB-5B2C-4932-AA3A-542593CCC15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7" firstHeaderRow="1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73831-EB36-43A7-A0E5-3BD8E9F71A7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0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0" baseField="0" baseItem="0"/>
    <dataField name="Sum of Sales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95103-DA7B-4997-8115-7C50EF47793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numFmtId="10"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0" baseField="0" baseItem="0"/>
    <dataField name="Sum of Sales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A9369-4FF1-49C6-A38E-6B6471C732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6:B24" firstHeaderRow="1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4"/>
        <item x="5"/>
        <item x="3"/>
        <item x="6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3" baseField="0" baseItem="0"/>
  </dataFields>
  <formats count="1">
    <format dxfId="1">
      <pivotArea dataOnly="0" labelOnly="1" outline="0" fieldPosition="0">
        <references count="1">
          <reference field="12" count="0"/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4B06F-E9C1-42B9-B980-5BE68183ED6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1" firstHeaderRow="0" firstDataRow="1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numFmtId="9" outline="0" subtotalTop="0" showAll="0">
      <items count="8">
        <item x="2"/>
        <item x="0"/>
        <item x="4"/>
        <item x="5"/>
        <item x="3"/>
        <item x="6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1" baseField="0" baseItem="0"/>
    <dataField name="Sum of Quantity" fld="10" baseField="0" baseItem="0"/>
    <dataField name="Sum of Profit" fld="13" baseField="0" baseItem="0"/>
  </dataFields>
  <formats count="1">
    <format dxfId="2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T501" totalsRowShown="0">
  <autoFilter ref="A1:T501" xr:uid="{00000000-0009-0000-0100-000002000000}"/>
  <tableColumns count="20">
    <tableColumn id="1" xr3:uid="{00000000-0010-0000-0000-000001000000}" name="Order ID"/>
    <tableColumn id="2" xr3:uid="{00000000-0010-0000-0000-000002000000}" name="Order Date" dataDxfId="8"/>
    <tableColumn id="3" xr3:uid="{00000000-0010-0000-0000-000003000000}" name="Customer ID"/>
    <tableColumn id="4" xr3:uid="{00000000-0010-0000-0000-000004000000}" name="Customer Name"/>
    <tableColumn id="5" xr3:uid="{00000000-0010-0000-0000-000005000000}" name="Product"/>
    <tableColumn id="6" xr3:uid="{00000000-0010-0000-0000-000006000000}" name="Category"/>
    <tableColumn id="7" xr3:uid="{00000000-0010-0000-0000-000007000000}" name="Sub-Category"/>
    <tableColumn id="8" xr3:uid="{00000000-0010-0000-0000-000008000000}" name="Region"/>
    <tableColumn id="9" xr3:uid="{00000000-0010-0000-0000-000009000000}" name="City"/>
    <tableColumn id="10" xr3:uid="{00000000-0010-0000-0000-00000A000000}" name="State"/>
    <tableColumn id="11" xr3:uid="{00000000-0010-0000-0000-00000B000000}" name="Quantity"/>
    <tableColumn id="12" xr3:uid="{00000000-0010-0000-0000-00000C000000}" name="Sales"/>
    <tableColumn id="13" xr3:uid="{00000000-0010-0000-0000-00000D000000}" name="Discount" dataDxfId="7"/>
    <tableColumn id="14" xr3:uid="{00000000-0010-0000-0000-00000E000000}" name="Profit"/>
    <tableColumn id="15" xr3:uid="{00000000-0010-0000-0000-00000F000000}" name="Payment Mode"/>
    <tableColumn id="16" xr3:uid="{00000000-0010-0000-0000-000010000000}" name="Year" dataDxfId="6">
      <calculatedColumnFormula>YEAR(B2)</calculatedColumnFormula>
    </tableColumn>
    <tableColumn id="17" xr3:uid="{00000000-0010-0000-0000-000011000000}" name="Month" dataDxfId="5">
      <calculatedColumnFormula>TEXT(B2,"mmm")</calculatedColumnFormula>
    </tableColumn>
    <tableColumn id="18" xr3:uid="{00000000-0010-0000-0000-000012000000}" name="Profit Margin" dataDxfId="0">
      <calculatedColumnFormula>N2/L2</calculatedColumnFormula>
    </tableColumn>
    <tableColumn id="19" xr3:uid="{00000000-0010-0000-0000-000013000000}" name="Sales Category" dataDxfId="4">
      <calculatedColumnFormula>IF(L2&gt;=30000,"High","Low")</calculatedColumnFormula>
    </tableColumn>
    <tableColumn id="20" xr3:uid="{00000000-0010-0000-0000-000014000000}" name="month num" dataDxfId="3">
      <calculatedColumnFormula>MONTH(B2)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opLeftCell="R2" zoomScale="65" zoomScaleNormal="79" workbookViewId="0">
      <selection activeCell="W8" sqref="W8"/>
    </sheetView>
  </sheetViews>
  <sheetFormatPr defaultColWidth="9" defaultRowHeight="14.4"/>
  <cols>
    <col min="1" max="1" width="15.109375" bestFit="1" customWidth="1"/>
    <col min="2" max="2" width="17.33203125" bestFit="1" customWidth="1"/>
    <col min="3" max="3" width="18.44140625" bestFit="1" customWidth="1"/>
    <col min="4" max="4" width="21.77734375" bestFit="1" customWidth="1"/>
    <col min="5" max="5" width="15.109375" customWidth="1"/>
    <col min="6" max="6" width="15.44140625" bestFit="1" customWidth="1"/>
    <col min="7" max="7" width="19.21875" bestFit="1" customWidth="1"/>
    <col min="8" max="8" width="13.77734375" bestFit="1" customWidth="1"/>
    <col min="9" max="9" width="12.44140625" bestFit="1" customWidth="1"/>
    <col min="10" max="10" width="13.109375" bestFit="1" customWidth="1"/>
    <col min="11" max="11" width="9" customWidth="1"/>
    <col min="12" max="12" width="12.44140625" bestFit="1" customWidth="1"/>
    <col min="13" max="13" width="15.33203125" bestFit="1" customWidth="1"/>
    <col min="14" max="14" width="12.5546875" bestFit="1" customWidth="1"/>
    <col min="15" max="15" width="21" bestFit="1" customWidth="1"/>
    <col min="17" max="17" width="11.77734375"/>
    <col min="18" max="18" width="15.6640625" bestFit="1" customWidth="1"/>
    <col min="19" max="19" width="17.21875" bestFit="1" customWidth="1"/>
    <col min="20" max="20" width="14.33203125" bestFit="1" customWidth="1"/>
    <col min="21" max="23" width="11.77734375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W1" t="s">
        <v>20</v>
      </c>
    </row>
    <row r="2" spans="1:23">
      <c r="A2" t="s">
        <v>21</v>
      </c>
      <c r="B2" s="2">
        <v>45800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4</v>
      </c>
      <c r="L2">
        <v>6840</v>
      </c>
      <c r="M2" s="7">
        <v>0.05</v>
      </c>
      <c r="N2">
        <v>1668.65</v>
      </c>
      <c r="O2" t="s">
        <v>30</v>
      </c>
      <c r="P2">
        <f t="shared" ref="P2:P65" si="0">YEAR(B2)</f>
        <v>2025</v>
      </c>
      <c r="Q2" t="str">
        <f t="shared" ref="Q2:Q65" si="1">TEXT(B2,"mmm")</f>
        <v>May</v>
      </c>
      <c r="R2" s="3">
        <f t="shared" ref="R2:R65" si="2">N2/L2</f>
        <v>0.24395467836257312</v>
      </c>
      <c r="S2" t="str">
        <f t="shared" ref="S2:S65" si="3">IF(L2&gt;=30000,"High","Low")</f>
        <v>Low</v>
      </c>
      <c r="T2">
        <f t="shared" ref="T2:T65" si="4">MONTH(B2)</f>
        <v>5</v>
      </c>
      <c r="W2">
        <f>COUNTBLANK(A2:O501)</f>
        <v>0</v>
      </c>
    </row>
    <row r="3" spans="1:23">
      <c r="A3" t="s">
        <v>31</v>
      </c>
      <c r="B3" s="2">
        <v>45991</v>
      </c>
      <c r="C3" t="s">
        <v>32</v>
      </c>
      <c r="D3" t="s">
        <v>33</v>
      </c>
      <c r="E3" t="s">
        <v>34</v>
      </c>
      <c r="F3" t="s">
        <v>25</v>
      </c>
      <c r="G3" t="s">
        <v>35</v>
      </c>
      <c r="H3" t="s">
        <v>36</v>
      </c>
      <c r="I3" t="s">
        <v>37</v>
      </c>
      <c r="J3" t="s">
        <v>38</v>
      </c>
      <c r="K3">
        <v>5</v>
      </c>
      <c r="L3">
        <v>192500</v>
      </c>
      <c r="M3" s="7">
        <v>0.3</v>
      </c>
      <c r="N3">
        <v>3071.7</v>
      </c>
      <c r="O3" t="s">
        <v>39</v>
      </c>
      <c r="P3">
        <f t="shared" si="0"/>
        <v>2025</v>
      </c>
      <c r="Q3" t="str">
        <f t="shared" si="1"/>
        <v>Nov</v>
      </c>
      <c r="R3" s="3">
        <f t="shared" si="2"/>
        <v>1.5956883116883116E-2</v>
      </c>
      <c r="S3" t="str">
        <f t="shared" si="3"/>
        <v>High</v>
      </c>
      <c r="T3">
        <f t="shared" si="4"/>
        <v>11</v>
      </c>
    </row>
    <row r="4" spans="1:23">
      <c r="A4" t="s">
        <v>40</v>
      </c>
      <c r="B4" s="2">
        <v>45906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27</v>
      </c>
      <c r="I4" t="s">
        <v>46</v>
      </c>
      <c r="J4" t="s">
        <v>46</v>
      </c>
      <c r="K4">
        <v>4</v>
      </c>
      <c r="L4">
        <v>32300</v>
      </c>
      <c r="M4" s="7">
        <v>0.05</v>
      </c>
      <c r="N4">
        <v>7482.28</v>
      </c>
      <c r="O4" t="s">
        <v>39</v>
      </c>
      <c r="P4">
        <f t="shared" si="0"/>
        <v>2025</v>
      </c>
      <c r="Q4" t="str">
        <f t="shared" si="1"/>
        <v>Sep</v>
      </c>
      <c r="R4" s="3">
        <f t="shared" si="2"/>
        <v>0.23164953560371515</v>
      </c>
      <c r="S4" t="str">
        <f t="shared" si="3"/>
        <v>High</v>
      </c>
      <c r="T4">
        <f t="shared" si="4"/>
        <v>9</v>
      </c>
    </row>
    <row r="5" spans="1:23">
      <c r="A5" t="s">
        <v>47</v>
      </c>
      <c r="B5" s="2">
        <v>45857</v>
      </c>
      <c r="C5" t="s">
        <v>48</v>
      </c>
      <c r="D5" t="s">
        <v>49</v>
      </c>
      <c r="E5" t="s">
        <v>34</v>
      </c>
      <c r="F5" t="s">
        <v>25</v>
      </c>
      <c r="G5" t="s">
        <v>35</v>
      </c>
      <c r="H5" t="s">
        <v>27</v>
      </c>
      <c r="I5" t="s">
        <v>28</v>
      </c>
      <c r="J5" t="s">
        <v>29</v>
      </c>
      <c r="K5">
        <v>3</v>
      </c>
      <c r="L5">
        <v>115500</v>
      </c>
      <c r="M5" s="7">
        <v>0.3</v>
      </c>
      <c r="N5">
        <v>17975.52</v>
      </c>
      <c r="O5" t="s">
        <v>30</v>
      </c>
      <c r="P5">
        <f t="shared" si="0"/>
        <v>2025</v>
      </c>
      <c r="Q5" t="str">
        <f t="shared" si="1"/>
        <v>Jul</v>
      </c>
      <c r="R5" s="3">
        <f t="shared" si="2"/>
        <v>0.15563220779220779</v>
      </c>
      <c r="S5" t="str">
        <f t="shared" si="3"/>
        <v>High</v>
      </c>
      <c r="T5">
        <f t="shared" si="4"/>
        <v>7</v>
      </c>
    </row>
    <row r="6" spans="1:23">
      <c r="A6" t="s">
        <v>50</v>
      </c>
      <c r="B6" s="2">
        <v>45755</v>
      </c>
      <c r="C6" t="s">
        <v>51</v>
      </c>
      <c r="D6" t="s">
        <v>52</v>
      </c>
      <c r="E6" t="s">
        <v>24</v>
      </c>
      <c r="F6" t="s">
        <v>25</v>
      </c>
      <c r="G6" t="s">
        <v>26</v>
      </c>
      <c r="H6" t="s">
        <v>36</v>
      </c>
      <c r="I6" t="s">
        <v>37</v>
      </c>
      <c r="J6" t="s">
        <v>38</v>
      </c>
      <c r="K6">
        <v>3</v>
      </c>
      <c r="L6">
        <v>5130</v>
      </c>
      <c r="M6" s="7">
        <v>0.05</v>
      </c>
      <c r="N6">
        <v>1315.86</v>
      </c>
      <c r="O6" t="s">
        <v>30</v>
      </c>
      <c r="P6">
        <f t="shared" si="0"/>
        <v>2025</v>
      </c>
      <c r="Q6" t="str">
        <f t="shared" si="1"/>
        <v>Apr</v>
      </c>
      <c r="R6" s="3">
        <f t="shared" si="2"/>
        <v>0.25650292397660818</v>
      </c>
      <c r="S6" t="str">
        <f t="shared" si="3"/>
        <v>Low</v>
      </c>
      <c r="T6">
        <f t="shared" si="4"/>
        <v>4</v>
      </c>
    </row>
    <row r="7" spans="1:23">
      <c r="A7" t="s">
        <v>53</v>
      </c>
      <c r="B7" s="2">
        <v>45818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>
        <v>1</v>
      </c>
      <c r="L7">
        <v>1600</v>
      </c>
      <c r="M7" s="7">
        <v>0</v>
      </c>
      <c r="N7">
        <v>314.94</v>
      </c>
      <c r="O7" t="s">
        <v>30</v>
      </c>
      <c r="P7">
        <f t="shared" si="0"/>
        <v>2025</v>
      </c>
      <c r="Q7" t="str">
        <f t="shared" si="1"/>
        <v>Jun</v>
      </c>
      <c r="R7" s="3">
        <f t="shared" si="2"/>
        <v>0.1968375</v>
      </c>
      <c r="S7" t="str">
        <f t="shared" si="3"/>
        <v>Low</v>
      </c>
      <c r="T7">
        <f t="shared" si="4"/>
        <v>6</v>
      </c>
    </row>
    <row r="8" spans="1:23">
      <c r="A8" t="s">
        <v>62</v>
      </c>
      <c r="B8" s="2">
        <v>45918</v>
      </c>
      <c r="C8" t="s">
        <v>63</v>
      </c>
      <c r="D8" t="s">
        <v>64</v>
      </c>
      <c r="E8" t="s">
        <v>34</v>
      </c>
      <c r="F8" t="s">
        <v>25</v>
      </c>
      <c r="G8" t="s">
        <v>35</v>
      </c>
      <c r="H8" t="s">
        <v>27</v>
      </c>
      <c r="I8" t="s">
        <v>65</v>
      </c>
      <c r="J8" t="s">
        <v>66</v>
      </c>
      <c r="K8">
        <v>1</v>
      </c>
      <c r="L8">
        <v>38500</v>
      </c>
      <c r="M8" s="7">
        <v>0.3</v>
      </c>
      <c r="N8">
        <v>482.69</v>
      </c>
      <c r="O8" t="s">
        <v>39</v>
      </c>
      <c r="P8">
        <f t="shared" si="0"/>
        <v>2025</v>
      </c>
      <c r="Q8" t="str">
        <f t="shared" si="1"/>
        <v>Sep</v>
      </c>
      <c r="R8" s="3">
        <f t="shared" si="2"/>
        <v>1.2537402597402597E-2</v>
      </c>
      <c r="S8" t="str">
        <f t="shared" si="3"/>
        <v>High</v>
      </c>
      <c r="T8">
        <f t="shared" si="4"/>
        <v>9</v>
      </c>
    </row>
    <row r="9" spans="1:23">
      <c r="A9" t="s">
        <v>67</v>
      </c>
      <c r="B9" s="2">
        <v>45949</v>
      </c>
      <c r="C9" t="s">
        <v>68</v>
      </c>
      <c r="D9" t="s">
        <v>69</v>
      </c>
      <c r="E9" t="s">
        <v>70</v>
      </c>
      <c r="F9" t="s">
        <v>25</v>
      </c>
      <c r="G9" t="s">
        <v>26</v>
      </c>
      <c r="H9" t="s">
        <v>27</v>
      </c>
      <c r="I9" t="s">
        <v>46</v>
      </c>
      <c r="J9" t="s">
        <v>46</v>
      </c>
      <c r="K9">
        <v>2</v>
      </c>
      <c r="L9">
        <v>1920</v>
      </c>
      <c r="M9" s="7">
        <v>0.2</v>
      </c>
      <c r="N9">
        <v>245.63</v>
      </c>
      <c r="O9" t="s">
        <v>71</v>
      </c>
      <c r="P9">
        <f t="shared" si="0"/>
        <v>2025</v>
      </c>
      <c r="Q9" t="str">
        <f t="shared" si="1"/>
        <v>Oct</v>
      </c>
      <c r="R9" s="3">
        <f t="shared" si="2"/>
        <v>0.12793229166666667</v>
      </c>
      <c r="S9" t="str">
        <f t="shared" si="3"/>
        <v>Low</v>
      </c>
      <c r="T9">
        <f t="shared" si="4"/>
        <v>10</v>
      </c>
    </row>
    <row r="10" spans="1:23">
      <c r="A10" t="s">
        <v>72</v>
      </c>
      <c r="B10" s="2">
        <v>45925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27</v>
      </c>
      <c r="I10" t="s">
        <v>46</v>
      </c>
      <c r="J10" t="s">
        <v>46</v>
      </c>
      <c r="K10">
        <v>3</v>
      </c>
      <c r="L10">
        <v>486</v>
      </c>
      <c r="M10" s="7">
        <v>0.1</v>
      </c>
      <c r="N10">
        <v>40.31</v>
      </c>
      <c r="O10" t="s">
        <v>39</v>
      </c>
      <c r="P10">
        <f t="shared" si="0"/>
        <v>2025</v>
      </c>
      <c r="Q10" t="str">
        <f t="shared" si="1"/>
        <v>Sep</v>
      </c>
      <c r="R10" s="3">
        <f t="shared" si="2"/>
        <v>8.2942386831275722E-2</v>
      </c>
      <c r="S10" t="str">
        <f t="shared" si="3"/>
        <v>Low</v>
      </c>
      <c r="T10">
        <f t="shared" si="4"/>
        <v>9</v>
      </c>
    </row>
    <row r="11" spans="1:23">
      <c r="A11" t="s">
        <v>78</v>
      </c>
      <c r="B11" s="2">
        <v>45725</v>
      </c>
      <c r="C11" t="s">
        <v>79</v>
      </c>
      <c r="D11" t="s">
        <v>80</v>
      </c>
      <c r="E11" t="s">
        <v>43</v>
      </c>
      <c r="F11" t="s">
        <v>44</v>
      </c>
      <c r="G11" t="s">
        <v>45</v>
      </c>
      <c r="H11" t="s">
        <v>59</v>
      </c>
      <c r="I11" t="s">
        <v>81</v>
      </c>
      <c r="J11" t="s">
        <v>82</v>
      </c>
      <c r="K11">
        <v>3</v>
      </c>
      <c r="L11">
        <v>21675</v>
      </c>
      <c r="M11" s="7">
        <v>0.15</v>
      </c>
      <c r="N11">
        <v>1843.25</v>
      </c>
      <c r="O11" t="s">
        <v>83</v>
      </c>
      <c r="P11">
        <f t="shared" si="0"/>
        <v>2025</v>
      </c>
      <c r="Q11" t="str">
        <f t="shared" si="1"/>
        <v>Mar</v>
      </c>
      <c r="R11" s="3">
        <f t="shared" si="2"/>
        <v>8.504036908881199E-2</v>
      </c>
      <c r="S11" t="str">
        <f t="shared" si="3"/>
        <v>Low</v>
      </c>
      <c r="T11">
        <f t="shared" si="4"/>
        <v>3</v>
      </c>
    </row>
    <row r="12" spans="1:23">
      <c r="A12" t="s">
        <v>84</v>
      </c>
      <c r="B12" s="2">
        <v>45976</v>
      </c>
      <c r="C12" t="s">
        <v>85</v>
      </c>
      <c r="D12" t="s">
        <v>86</v>
      </c>
      <c r="E12" t="s">
        <v>87</v>
      </c>
      <c r="F12" t="s">
        <v>44</v>
      </c>
      <c r="G12" t="s">
        <v>88</v>
      </c>
      <c r="H12" t="s">
        <v>36</v>
      </c>
      <c r="I12" t="s">
        <v>89</v>
      </c>
      <c r="J12" t="s">
        <v>90</v>
      </c>
      <c r="K12">
        <v>5</v>
      </c>
      <c r="L12">
        <v>60000</v>
      </c>
      <c r="M12" s="7">
        <v>0</v>
      </c>
      <c r="N12">
        <v>5679.13</v>
      </c>
      <c r="O12" t="s">
        <v>91</v>
      </c>
      <c r="P12">
        <f t="shared" si="0"/>
        <v>2025</v>
      </c>
      <c r="Q12" t="str">
        <f t="shared" si="1"/>
        <v>Nov</v>
      </c>
      <c r="R12" s="3">
        <f t="shared" si="2"/>
        <v>9.4652166666666662E-2</v>
      </c>
      <c r="S12" t="str">
        <f t="shared" si="3"/>
        <v>High</v>
      </c>
      <c r="T12">
        <f t="shared" si="4"/>
        <v>11</v>
      </c>
    </row>
    <row r="13" spans="1:23">
      <c r="A13" t="s">
        <v>92</v>
      </c>
      <c r="B13" s="2">
        <v>45836</v>
      </c>
      <c r="C13" t="s">
        <v>93</v>
      </c>
      <c r="D13" t="s">
        <v>94</v>
      </c>
      <c r="E13" t="s">
        <v>95</v>
      </c>
      <c r="F13" t="s">
        <v>25</v>
      </c>
      <c r="G13" t="s">
        <v>26</v>
      </c>
      <c r="H13" t="s">
        <v>59</v>
      </c>
      <c r="I13" t="s">
        <v>96</v>
      </c>
      <c r="J13" t="s">
        <v>61</v>
      </c>
      <c r="K13">
        <v>1</v>
      </c>
      <c r="L13">
        <v>427.5</v>
      </c>
      <c r="M13" s="7">
        <v>0.05</v>
      </c>
      <c r="N13">
        <v>60.68</v>
      </c>
      <c r="O13" t="s">
        <v>30</v>
      </c>
      <c r="P13">
        <f t="shared" si="0"/>
        <v>2025</v>
      </c>
      <c r="Q13" t="str">
        <f t="shared" si="1"/>
        <v>Jun</v>
      </c>
      <c r="R13" s="3">
        <f t="shared" si="2"/>
        <v>0.14194152046783626</v>
      </c>
      <c r="S13" t="str">
        <f t="shared" si="3"/>
        <v>Low</v>
      </c>
      <c r="T13">
        <f t="shared" si="4"/>
        <v>6</v>
      </c>
    </row>
    <row r="14" spans="1:23">
      <c r="A14" t="s">
        <v>97</v>
      </c>
      <c r="B14" s="2">
        <v>45992</v>
      </c>
      <c r="C14" t="s">
        <v>98</v>
      </c>
      <c r="D14" t="s">
        <v>99</v>
      </c>
      <c r="E14" t="s">
        <v>75</v>
      </c>
      <c r="F14" t="s">
        <v>76</v>
      </c>
      <c r="G14" t="s">
        <v>77</v>
      </c>
      <c r="H14" t="s">
        <v>36</v>
      </c>
      <c r="I14" t="s">
        <v>89</v>
      </c>
      <c r="J14" t="s">
        <v>90</v>
      </c>
      <c r="K14">
        <v>5</v>
      </c>
      <c r="L14">
        <v>900</v>
      </c>
      <c r="M14" s="7">
        <v>0</v>
      </c>
      <c r="N14">
        <v>192.22</v>
      </c>
      <c r="O14" t="s">
        <v>83</v>
      </c>
      <c r="P14">
        <f t="shared" si="0"/>
        <v>2025</v>
      </c>
      <c r="Q14" t="str">
        <f t="shared" si="1"/>
        <v>Dec</v>
      </c>
      <c r="R14" s="3">
        <f t="shared" si="2"/>
        <v>0.21357777777777778</v>
      </c>
      <c r="S14" t="str">
        <f t="shared" si="3"/>
        <v>Low</v>
      </c>
      <c r="T14">
        <f t="shared" si="4"/>
        <v>12</v>
      </c>
    </row>
    <row r="15" spans="1:23">
      <c r="A15" t="s">
        <v>100</v>
      </c>
      <c r="B15" s="2">
        <v>45717</v>
      </c>
      <c r="C15" t="s">
        <v>101</v>
      </c>
      <c r="D15" t="s">
        <v>102</v>
      </c>
      <c r="E15" t="s">
        <v>103</v>
      </c>
      <c r="F15" t="s">
        <v>25</v>
      </c>
      <c r="G15" t="s">
        <v>104</v>
      </c>
      <c r="H15" t="s">
        <v>27</v>
      </c>
      <c r="I15" t="s">
        <v>28</v>
      </c>
      <c r="J15" t="s">
        <v>29</v>
      </c>
      <c r="K15">
        <v>1</v>
      </c>
      <c r="L15">
        <v>21000</v>
      </c>
      <c r="M15" s="7">
        <v>0.25</v>
      </c>
      <c r="N15">
        <v>2596.08</v>
      </c>
      <c r="O15" t="s">
        <v>30</v>
      </c>
      <c r="P15">
        <f t="shared" si="0"/>
        <v>2025</v>
      </c>
      <c r="Q15" t="str">
        <f t="shared" si="1"/>
        <v>Mar</v>
      </c>
      <c r="R15" s="3">
        <f t="shared" si="2"/>
        <v>0.12362285714285715</v>
      </c>
      <c r="S15" t="str">
        <f t="shared" si="3"/>
        <v>Low</v>
      </c>
      <c r="T15">
        <f t="shared" si="4"/>
        <v>3</v>
      </c>
    </row>
    <row r="16" spans="1:23">
      <c r="A16" t="s">
        <v>105</v>
      </c>
      <c r="B16" s="2">
        <v>45833</v>
      </c>
      <c r="C16" t="s">
        <v>106</v>
      </c>
      <c r="D16" t="s">
        <v>107</v>
      </c>
      <c r="E16" t="s">
        <v>56</v>
      </c>
      <c r="F16" t="s">
        <v>57</v>
      </c>
      <c r="G16" t="s">
        <v>58</v>
      </c>
      <c r="H16" t="s">
        <v>59</v>
      </c>
      <c r="I16" t="s">
        <v>81</v>
      </c>
      <c r="J16" t="s">
        <v>82</v>
      </c>
      <c r="K16">
        <v>2</v>
      </c>
      <c r="L16">
        <v>2400</v>
      </c>
      <c r="M16" s="7">
        <v>0.25</v>
      </c>
      <c r="N16">
        <v>336.84</v>
      </c>
      <c r="O16" t="s">
        <v>71</v>
      </c>
      <c r="P16">
        <f t="shared" si="0"/>
        <v>2025</v>
      </c>
      <c r="Q16" t="str">
        <f t="shared" si="1"/>
        <v>Jun</v>
      </c>
      <c r="R16" s="3">
        <f t="shared" si="2"/>
        <v>0.14035</v>
      </c>
      <c r="S16" t="str">
        <f t="shared" si="3"/>
        <v>Low</v>
      </c>
      <c r="T16">
        <f t="shared" si="4"/>
        <v>6</v>
      </c>
    </row>
    <row r="17" spans="1:20">
      <c r="A17" t="s">
        <v>108</v>
      </c>
      <c r="B17" s="2">
        <v>45684</v>
      </c>
      <c r="C17" t="s">
        <v>109</v>
      </c>
      <c r="D17" t="s">
        <v>110</v>
      </c>
      <c r="E17" t="s">
        <v>95</v>
      </c>
      <c r="F17" t="s">
        <v>25</v>
      </c>
      <c r="G17" t="s">
        <v>26</v>
      </c>
      <c r="H17" t="s">
        <v>59</v>
      </c>
      <c r="I17" t="s">
        <v>96</v>
      </c>
      <c r="J17" t="s">
        <v>61</v>
      </c>
      <c r="K17">
        <v>1</v>
      </c>
      <c r="L17">
        <v>337.5</v>
      </c>
      <c r="M17" s="7">
        <v>0.25</v>
      </c>
      <c r="N17">
        <v>32.880000000000003</v>
      </c>
      <c r="O17" t="s">
        <v>83</v>
      </c>
      <c r="P17">
        <f t="shared" si="0"/>
        <v>2025</v>
      </c>
      <c r="Q17" t="str">
        <f t="shared" si="1"/>
        <v>Jan</v>
      </c>
      <c r="R17" s="3">
        <f t="shared" si="2"/>
        <v>9.7422222222222229E-2</v>
      </c>
      <c r="S17" t="str">
        <f t="shared" si="3"/>
        <v>Low</v>
      </c>
      <c r="T17">
        <f t="shared" si="4"/>
        <v>1</v>
      </c>
    </row>
    <row r="18" spans="1:20">
      <c r="A18" t="s">
        <v>111</v>
      </c>
      <c r="B18" s="2">
        <v>45724</v>
      </c>
      <c r="C18" t="s">
        <v>112</v>
      </c>
      <c r="D18" t="s">
        <v>113</v>
      </c>
      <c r="E18" t="s">
        <v>114</v>
      </c>
      <c r="F18" t="s">
        <v>57</v>
      </c>
      <c r="G18" t="s">
        <v>58</v>
      </c>
      <c r="H18" t="s">
        <v>36</v>
      </c>
      <c r="I18" t="s">
        <v>115</v>
      </c>
      <c r="J18" t="s">
        <v>116</v>
      </c>
      <c r="K18">
        <v>3</v>
      </c>
      <c r="L18">
        <v>1995</v>
      </c>
      <c r="M18" s="7">
        <v>0.05</v>
      </c>
      <c r="N18">
        <v>421.64</v>
      </c>
      <c r="O18" t="s">
        <v>71</v>
      </c>
      <c r="P18">
        <f t="shared" si="0"/>
        <v>2025</v>
      </c>
      <c r="Q18" t="str">
        <f t="shared" si="1"/>
        <v>Mar</v>
      </c>
      <c r="R18" s="3">
        <f t="shared" si="2"/>
        <v>0.21134837092731829</v>
      </c>
      <c r="S18" t="str">
        <f t="shared" si="3"/>
        <v>Low</v>
      </c>
      <c r="T18">
        <f t="shared" si="4"/>
        <v>3</v>
      </c>
    </row>
    <row r="19" spans="1:20">
      <c r="A19" t="s">
        <v>117</v>
      </c>
      <c r="B19" s="2">
        <v>45715</v>
      </c>
      <c r="C19" t="s">
        <v>118</v>
      </c>
      <c r="D19" t="s">
        <v>119</v>
      </c>
      <c r="E19" t="s">
        <v>34</v>
      </c>
      <c r="F19" t="s">
        <v>25</v>
      </c>
      <c r="G19" t="s">
        <v>35</v>
      </c>
      <c r="H19" t="s">
        <v>27</v>
      </c>
      <c r="I19" t="s">
        <v>28</v>
      </c>
      <c r="J19" t="s">
        <v>29</v>
      </c>
      <c r="K19">
        <v>1</v>
      </c>
      <c r="L19">
        <v>41250</v>
      </c>
      <c r="M19" s="7">
        <v>0.25</v>
      </c>
      <c r="N19">
        <v>7288.31</v>
      </c>
      <c r="O19" t="s">
        <v>91</v>
      </c>
      <c r="P19">
        <f t="shared" si="0"/>
        <v>2025</v>
      </c>
      <c r="Q19" t="str">
        <f t="shared" si="1"/>
        <v>Feb</v>
      </c>
      <c r="R19" s="3">
        <f t="shared" si="2"/>
        <v>0.17668630303030303</v>
      </c>
      <c r="S19" t="str">
        <f t="shared" si="3"/>
        <v>High</v>
      </c>
      <c r="T19">
        <f t="shared" si="4"/>
        <v>2</v>
      </c>
    </row>
    <row r="20" spans="1:20">
      <c r="A20" t="s">
        <v>120</v>
      </c>
      <c r="B20" s="2">
        <v>45733</v>
      </c>
      <c r="C20" t="s">
        <v>73</v>
      </c>
      <c r="D20" t="s">
        <v>74</v>
      </c>
      <c r="E20" t="s">
        <v>121</v>
      </c>
      <c r="F20" t="s">
        <v>44</v>
      </c>
      <c r="G20" t="s">
        <v>122</v>
      </c>
      <c r="H20" t="s">
        <v>27</v>
      </c>
      <c r="I20" t="s">
        <v>46</v>
      </c>
      <c r="J20" t="s">
        <v>46</v>
      </c>
      <c r="K20">
        <v>4</v>
      </c>
      <c r="L20">
        <v>24700</v>
      </c>
      <c r="M20" s="7">
        <v>0.05</v>
      </c>
      <c r="N20">
        <v>1823.05</v>
      </c>
      <c r="O20" t="s">
        <v>83</v>
      </c>
      <c r="P20">
        <f t="shared" si="0"/>
        <v>2025</v>
      </c>
      <c r="Q20" t="str">
        <f t="shared" si="1"/>
        <v>Mar</v>
      </c>
      <c r="R20" s="3">
        <f t="shared" si="2"/>
        <v>7.380769230769231E-2</v>
      </c>
      <c r="S20" t="str">
        <f t="shared" si="3"/>
        <v>Low</v>
      </c>
      <c r="T20">
        <f t="shared" si="4"/>
        <v>3</v>
      </c>
    </row>
    <row r="21" spans="1:20">
      <c r="A21" t="s">
        <v>123</v>
      </c>
      <c r="B21" s="2">
        <v>46007</v>
      </c>
      <c r="C21" t="s">
        <v>124</v>
      </c>
      <c r="D21" t="s">
        <v>125</v>
      </c>
      <c r="E21" t="s">
        <v>126</v>
      </c>
      <c r="F21" t="s">
        <v>25</v>
      </c>
      <c r="G21" t="s">
        <v>35</v>
      </c>
      <c r="H21" t="s">
        <v>127</v>
      </c>
      <c r="I21" t="s">
        <v>128</v>
      </c>
      <c r="J21" t="s">
        <v>129</v>
      </c>
      <c r="K21">
        <v>2</v>
      </c>
      <c r="L21">
        <v>21750</v>
      </c>
      <c r="M21" s="7">
        <v>0.25</v>
      </c>
      <c r="N21">
        <v>39.18</v>
      </c>
      <c r="O21" t="s">
        <v>71</v>
      </c>
      <c r="P21">
        <f t="shared" si="0"/>
        <v>2025</v>
      </c>
      <c r="Q21" t="str">
        <f t="shared" si="1"/>
        <v>Dec</v>
      </c>
      <c r="R21" s="3">
        <f t="shared" si="2"/>
        <v>1.8013793103448276E-3</v>
      </c>
      <c r="S21" t="str">
        <f t="shared" si="3"/>
        <v>Low</v>
      </c>
      <c r="T21">
        <f t="shared" si="4"/>
        <v>12</v>
      </c>
    </row>
    <row r="22" spans="1:20">
      <c r="A22" t="s">
        <v>130</v>
      </c>
      <c r="B22" s="2">
        <v>45737</v>
      </c>
      <c r="C22" t="s">
        <v>131</v>
      </c>
      <c r="D22" t="s">
        <v>132</v>
      </c>
      <c r="E22" t="s">
        <v>56</v>
      </c>
      <c r="F22" t="s">
        <v>57</v>
      </c>
      <c r="G22" t="s">
        <v>58</v>
      </c>
      <c r="H22" t="s">
        <v>36</v>
      </c>
      <c r="I22" t="s">
        <v>89</v>
      </c>
      <c r="J22" t="s">
        <v>90</v>
      </c>
      <c r="K22">
        <v>2</v>
      </c>
      <c r="L22">
        <v>2240</v>
      </c>
      <c r="M22" s="7">
        <v>0.3</v>
      </c>
      <c r="N22">
        <v>-16.78</v>
      </c>
      <c r="O22" t="s">
        <v>39</v>
      </c>
      <c r="P22">
        <f t="shared" si="0"/>
        <v>2025</v>
      </c>
      <c r="Q22" t="str">
        <f t="shared" si="1"/>
        <v>Mar</v>
      </c>
      <c r="R22" s="3">
        <f t="shared" si="2"/>
        <v>-7.4910714285714294E-3</v>
      </c>
      <c r="S22" t="str">
        <f t="shared" si="3"/>
        <v>Low</v>
      </c>
      <c r="T22">
        <f t="shared" si="4"/>
        <v>3</v>
      </c>
    </row>
    <row r="23" spans="1:20">
      <c r="A23" t="s">
        <v>133</v>
      </c>
      <c r="B23" s="2">
        <v>45749</v>
      </c>
      <c r="C23" t="s">
        <v>134</v>
      </c>
      <c r="D23" t="s">
        <v>135</v>
      </c>
      <c r="E23" t="s">
        <v>34</v>
      </c>
      <c r="F23" t="s">
        <v>25</v>
      </c>
      <c r="G23" t="s">
        <v>35</v>
      </c>
      <c r="H23" t="s">
        <v>36</v>
      </c>
      <c r="I23" t="s">
        <v>37</v>
      </c>
      <c r="J23" t="s">
        <v>38</v>
      </c>
      <c r="K23">
        <v>3</v>
      </c>
      <c r="L23">
        <v>115500</v>
      </c>
      <c r="M23" s="7">
        <v>0.3</v>
      </c>
      <c r="N23">
        <v>16862.490000000002</v>
      </c>
      <c r="O23" t="s">
        <v>39</v>
      </c>
      <c r="P23">
        <f t="shared" si="0"/>
        <v>2025</v>
      </c>
      <c r="Q23" t="str">
        <f t="shared" si="1"/>
        <v>Apr</v>
      </c>
      <c r="R23" s="3">
        <f t="shared" si="2"/>
        <v>0.14599558441558444</v>
      </c>
      <c r="S23" t="str">
        <f t="shared" si="3"/>
        <v>High</v>
      </c>
      <c r="T23">
        <f t="shared" si="4"/>
        <v>4</v>
      </c>
    </row>
    <row r="24" spans="1:20">
      <c r="A24" t="s">
        <v>136</v>
      </c>
      <c r="B24" s="2">
        <v>46017</v>
      </c>
      <c r="C24" t="s">
        <v>137</v>
      </c>
      <c r="D24" t="s">
        <v>138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>
        <v>1</v>
      </c>
      <c r="L24">
        <v>1530</v>
      </c>
      <c r="M24" s="7">
        <v>0.15</v>
      </c>
      <c r="N24">
        <v>294.12</v>
      </c>
      <c r="O24" t="s">
        <v>39</v>
      </c>
      <c r="P24">
        <f t="shared" si="0"/>
        <v>2025</v>
      </c>
      <c r="Q24" t="str">
        <f t="shared" si="1"/>
        <v>Dec</v>
      </c>
      <c r="R24" s="3">
        <f t="shared" si="2"/>
        <v>0.19223529411764706</v>
      </c>
      <c r="S24" t="str">
        <f t="shared" si="3"/>
        <v>Low</v>
      </c>
      <c r="T24">
        <f t="shared" si="4"/>
        <v>12</v>
      </c>
    </row>
    <row r="25" spans="1:20">
      <c r="A25" t="s">
        <v>139</v>
      </c>
      <c r="B25" s="2">
        <v>45893</v>
      </c>
      <c r="C25" t="s">
        <v>140</v>
      </c>
      <c r="D25" t="s">
        <v>141</v>
      </c>
      <c r="E25" t="s">
        <v>142</v>
      </c>
      <c r="F25" t="s">
        <v>25</v>
      </c>
      <c r="G25" t="s">
        <v>143</v>
      </c>
      <c r="H25" t="s">
        <v>127</v>
      </c>
      <c r="I25" t="s">
        <v>128</v>
      </c>
      <c r="J25" t="s">
        <v>129</v>
      </c>
      <c r="K25">
        <v>3</v>
      </c>
      <c r="L25">
        <v>31050</v>
      </c>
      <c r="M25" s="7">
        <v>0.1</v>
      </c>
      <c r="N25">
        <v>6282.17</v>
      </c>
      <c r="O25" t="s">
        <v>39</v>
      </c>
      <c r="P25">
        <f t="shared" si="0"/>
        <v>2025</v>
      </c>
      <c r="Q25" t="str">
        <f t="shared" si="1"/>
        <v>Aug</v>
      </c>
      <c r="R25" s="3">
        <f t="shared" si="2"/>
        <v>0.2023243156199678</v>
      </c>
      <c r="S25" t="str">
        <f t="shared" si="3"/>
        <v>High</v>
      </c>
      <c r="T25">
        <f t="shared" si="4"/>
        <v>8</v>
      </c>
    </row>
    <row r="26" spans="1:20">
      <c r="A26" t="s">
        <v>144</v>
      </c>
      <c r="B26" s="2">
        <v>45756</v>
      </c>
      <c r="C26" t="s">
        <v>145</v>
      </c>
      <c r="D26" t="s">
        <v>146</v>
      </c>
      <c r="E26" t="s">
        <v>147</v>
      </c>
      <c r="F26" t="s">
        <v>76</v>
      </c>
      <c r="G26" t="s">
        <v>77</v>
      </c>
      <c r="H26" t="s">
        <v>36</v>
      </c>
      <c r="I26" t="s">
        <v>115</v>
      </c>
      <c r="J26" t="s">
        <v>116</v>
      </c>
      <c r="K26">
        <v>4</v>
      </c>
      <c r="L26">
        <v>900</v>
      </c>
      <c r="M26" s="7">
        <v>0.1</v>
      </c>
      <c r="N26">
        <v>102.59</v>
      </c>
      <c r="O26" t="s">
        <v>91</v>
      </c>
      <c r="P26">
        <f t="shared" si="0"/>
        <v>2025</v>
      </c>
      <c r="Q26" t="str">
        <f t="shared" si="1"/>
        <v>Apr</v>
      </c>
      <c r="R26" s="3">
        <f t="shared" si="2"/>
        <v>0.11398888888888889</v>
      </c>
      <c r="S26" t="str">
        <f t="shared" si="3"/>
        <v>Low</v>
      </c>
      <c r="T26">
        <f t="shared" si="4"/>
        <v>4</v>
      </c>
    </row>
    <row r="27" spans="1:20">
      <c r="A27" t="s">
        <v>148</v>
      </c>
      <c r="B27" s="2">
        <v>45918</v>
      </c>
      <c r="C27" t="s">
        <v>149</v>
      </c>
      <c r="D27" t="s">
        <v>150</v>
      </c>
      <c r="E27" t="s">
        <v>147</v>
      </c>
      <c r="F27" t="s">
        <v>76</v>
      </c>
      <c r="G27" t="s">
        <v>77</v>
      </c>
      <c r="H27" t="s">
        <v>59</v>
      </c>
      <c r="I27" t="s">
        <v>96</v>
      </c>
      <c r="J27" t="s">
        <v>61</v>
      </c>
      <c r="K27">
        <v>4</v>
      </c>
      <c r="L27">
        <v>750</v>
      </c>
      <c r="M27" s="7">
        <v>0.25</v>
      </c>
      <c r="N27">
        <v>144.54</v>
      </c>
      <c r="O27" t="s">
        <v>83</v>
      </c>
      <c r="P27">
        <f t="shared" si="0"/>
        <v>2025</v>
      </c>
      <c r="Q27" t="str">
        <f t="shared" si="1"/>
        <v>Sep</v>
      </c>
      <c r="R27" s="3">
        <f t="shared" si="2"/>
        <v>0.19272</v>
      </c>
      <c r="S27" t="str">
        <f t="shared" si="3"/>
        <v>Low</v>
      </c>
      <c r="T27">
        <f t="shared" si="4"/>
        <v>9</v>
      </c>
    </row>
    <row r="28" spans="1:20">
      <c r="A28" t="s">
        <v>151</v>
      </c>
      <c r="B28" s="2">
        <v>45791</v>
      </c>
      <c r="C28" t="s">
        <v>152</v>
      </c>
      <c r="D28" t="s">
        <v>153</v>
      </c>
      <c r="E28" t="s">
        <v>95</v>
      </c>
      <c r="F28" t="s">
        <v>25</v>
      </c>
      <c r="G28" t="s">
        <v>26</v>
      </c>
      <c r="H28" t="s">
        <v>127</v>
      </c>
      <c r="I28" t="s">
        <v>128</v>
      </c>
      <c r="J28" t="s">
        <v>129</v>
      </c>
      <c r="K28">
        <v>2</v>
      </c>
      <c r="L28">
        <v>720</v>
      </c>
      <c r="M28" s="7">
        <v>0.2</v>
      </c>
      <c r="N28">
        <v>157.85</v>
      </c>
      <c r="O28" t="s">
        <v>83</v>
      </c>
      <c r="P28">
        <f t="shared" si="0"/>
        <v>2025</v>
      </c>
      <c r="Q28" t="str">
        <f t="shared" si="1"/>
        <v>May</v>
      </c>
      <c r="R28" s="3">
        <f t="shared" si="2"/>
        <v>0.2192361111111111</v>
      </c>
      <c r="S28" t="str">
        <f t="shared" si="3"/>
        <v>Low</v>
      </c>
      <c r="T28">
        <f t="shared" si="4"/>
        <v>5</v>
      </c>
    </row>
    <row r="29" spans="1:20">
      <c r="A29" t="s">
        <v>154</v>
      </c>
      <c r="B29" s="2">
        <v>45834</v>
      </c>
      <c r="C29" t="s">
        <v>155</v>
      </c>
      <c r="D29" t="s">
        <v>99</v>
      </c>
      <c r="E29" t="s">
        <v>43</v>
      </c>
      <c r="F29" t="s">
        <v>44</v>
      </c>
      <c r="G29" t="s">
        <v>45</v>
      </c>
      <c r="H29" t="s">
        <v>36</v>
      </c>
      <c r="I29" t="s">
        <v>115</v>
      </c>
      <c r="J29" t="s">
        <v>116</v>
      </c>
      <c r="K29">
        <v>3</v>
      </c>
      <c r="L29">
        <v>21675</v>
      </c>
      <c r="M29" s="7">
        <v>0.15</v>
      </c>
      <c r="N29">
        <v>3295.97</v>
      </c>
      <c r="O29" t="s">
        <v>71</v>
      </c>
      <c r="P29">
        <f t="shared" si="0"/>
        <v>2025</v>
      </c>
      <c r="Q29" t="str">
        <f t="shared" si="1"/>
        <v>Jun</v>
      </c>
      <c r="R29" s="3">
        <f t="shared" si="2"/>
        <v>0.15206320645905419</v>
      </c>
      <c r="S29" t="str">
        <f t="shared" si="3"/>
        <v>Low</v>
      </c>
      <c r="T29">
        <f t="shared" si="4"/>
        <v>6</v>
      </c>
    </row>
    <row r="30" spans="1:20">
      <c r="A30" t="s">
        <v>156</v>
      </c>
      <c r="B30" s="2">
        <v>45788</v>
      </c>
      <c r="C30" t="s">
        <v>157</v>
      </c>
      <c r="D30" t="s">
        <v>158</v>
      </c>
      <c r="E30" t="s">
        <v>126</v>
      </c>
      <c r="F30" t="s">
        <v>25</v>
      </c>
      <c r="G30" t="s">
        <v>35</v>
      </c>
      <c r="H30" t="s">
        <v>36</v>
      </c>
      <c r="I30" t="s">
        <v>37</v>
      </c>
      <c r="J30" t="s">
        <v>38</v>
      </c>
      <c r="K30">
        <v>1</v>
      </c>
      <c r="L30">
        <v>10875</v>
      </c>
      <c r="M30" s="7">
        <v>0.25</v>
      </c>
      <c r="N30">
        <v>921.29</v>
      </c>
      <c r="O30" t="s">
        <v>30</v>
      </c>
      <c r="P30">
        <f t="shared" si="0"/>
        <v>2025</v>
      </c>
      <c r="Q30" t="str">
        <f t="shared" si="1"/>
        <v>May</v>
      </c>
      <c r="R30" s="3">
        <f t="shared" si="2"/>
        <v>8.4716321839080455E-2</v>
      </c>
      <c r="S30" t="str">
        <f t="shared" si="3"/>
        <v>Low</v>
      </c>
      <c r="T30">
        <f t="shared" si="4"/>
        <v>5</v>
      </c>
    </row>
    <row r="31" spans="1:20">
      <c r="A31" t="s">
        <v>159</v>
      </c>
      <c r="B31" s="2">
        <v>45878</v>
      </c>
      <c r="C31" t="s">
        <v>140</v>
      </c>
      <c r="D31" t="s">
        <v>141</v>
      </c>
      <c r="E31" t="s">
        <v>160</v>
      </c>
      <c r="F31" t="s">
        <v>25</v>
      </c>
      <c r="G31" t="s">
        <v>161</v>
      </c>
      <c r="H31" t="s">
        <v>127</v>
      </c>
      <c r="I31" t="s">
        <v>128</v>
      </c>
      <c r="J31" t="s">
        <v>129</v>
      </c>
      <c r="K31">
        <v>1</v>
      </c>
      <c r="L31">
        <v>2400</v>
      </c>
      <c r="M31" s="7">
        <v>0.25</v>
      </c>
      <c r="N31">
        <v>420.5</v>
      </c>
      <c r="O31" t="s">
        <v>83</v>
      </c>
      <c r="P31">
        <f t="shared" si="0"/>
        <v>2025</v>
      </c>
      <c r="Q31" t="str">
        <f t="shared" si="1"/>
        <v>Aug</v>
      </c>
      <c r="R31" s="3">
        <f t="shared" si="2"/>
        <v>0.17520833333333333</v>
      </c>
      <c r="S31" t="str">
        <f t="shared" si="3"/>
        <v>Low</v>
      </c>
      <c r="T31">
        <f t="shared" si="4"/>
        <v>8</v>
      </c>
    </row>
    <row r="32" spans="1:20">
      <c r="A32" t="s">
        <v>162</v>
      </c>
      <c r="B32" s="2">
        <v>45816</v>
      </c>
      <c r="C32" t="s">
        <v>98</v>
      </c>
      <c r="D32" t="s">
        <v>99</v>
      </c>
      <c r="E32" t="s">
        <v>121</v>
      </c>
      <c r="F32" t="s">
        <v>44</v>
      </c>
      <c r="G32" t="s">
        <v>122</v>
      </c>
      <c r="H32" t="s">
        <v>36</v>
      </c>
      <c r="I32" t="s">
        <v>89</v>
      </c>
      <c r="J32" t="s">
        <v>90</v>
      </c>
      <c r="K32">
        <v>4</v>
      </c>
      <c r="L32">
        <v>23400</v>
      </c>
      <c r="M32" s="7">
        <v>0.1</v>
      </c>
      <c r="N32">
        <v>3114.28</v>
      </c>
      <c r="O32" t="s">
        <v>39</v>
      </c>
      <c r="P32">
        <f t="shared" si="0"/>
        <v>2025</v>
      </c>
      <c r="Q32" t="str">
        <f t="shared" si="1"/>
        <v>Jun</v>
      </c>
      <c r="R32" s="3">
        <f t="shared" si="2"/>
        <v>0.1330888888888889</v>
      </c>
      <c r="S32" t="str">
        <f t="shared" si="3"/>
        <v>Low</v>
      </c>
      <c r="T32">
        <f t="shared" si="4"/>
        <v>6</v>
      </c>
    </row>
    <row r="33" spans="1:20">
      <c r="A33" t="s">
        <v>163</v>
      </c>
      <c r="B33" s="2">
        <v>45998</v>
      </c>
      <c r="C33" t="s">
        <v>164</v>
      </c>
      <c r="D33" t="s">
        <v>165</v>
      </c>
      <c r="E33" t="s">
        <v>43</v>
      </c>
      <c r="F33" t="s">
        <v>44</v>
      </c>
      <c r="G33" t="s">
        <v>45</v>
      </c>
      <c r="H33" t="s">
        <v>59</v>
      </c>
      <c r="I33" t="s">
        <v>81</v>
      </c>
      <c r="J33" t="s">
        <v>82</v>
      </c>
      <c r="K33">
        <v>4</v>
      </c>
      <c r="L33">
        <v>25500</v>
      </c>
      <c r="M33" s="7">
        <v>0.25</v>
      </c>
      <c r="N33">
        <v>4303.13</v>
      </c>
      <c r="O33" t="s">
        <v>30</v>
      </c>
      <c r="P33">
        <f t="shared" si="0"/>
        <v>2025</v>
      </c>
      <c r="Q33" t="str">
        <f t="shared" si="1"/>
        <v>Dec</v>
      </c>
      <c r="R33" s="3">
        <f t="shared" si="2"/>
        <v>0.16875019607843136</v>
      </c>
      <c r="S33" t="str">
        <f t="shared" si="3"/>
        <v>Low</v>
      </c>
      <c r="T33">
        <f t="shared" si="4"/>
        <v>12</v>
      </c>
    </row>
    <row r="34" spans="1:20">
      <c r="A34" t="s">
        <v>166</v>
      </c>
      <c r="B34" s="2">
        <v>45938</v>
      </c>
      <c r="C34" t="s">
        <v>98</v>
      </c>
      <c r="D34" t="s">
        <v>99</v>
      </c>
      <c r="E34" t="s">
        <v>43</v>
      </c>
      <c r="F34" t="s">
        <v>44</v>
      </c>
      <c r="G34" t="s">
        <v>45</v>
      </c>
      <c r="H34" t="s">
        <v>36</v>
      </c>
      <c r="I34" t="s">
        <v>89</v>
      </c>
      <c r="J34" t="s">
        <v>90</v>
      </c>
      <c r="K34">
        <v>1</v>
      </c>
      <c r="L34">
        <v>7650</v>
      </c>
      <c r="M34" s="7">
        <v>0.1</v>
      </c>
      <c r="N34">
        <v>815.76</v>
      </c>
      <c r="O34" t="s">
        <v>30</v>
      </c>
      <c r="P34">
        <f t="shared" si="0"/>
        <v>2025</v>
      </c>
      <c r="Q34" t="str">
        <f t="shared" si="1"/>
        <v>Oct</v>
      </c>
      <c r="R34" s="3">
        <f t="shared" si="2"/>
        <v>0.10663529411764706</v>
      </c>
      <c r="S34" t="str">
        <f t="shared" si="3"/>
        <v>Low</v>
      </c>
      <c r="T34">
        <f t="shared" si="4"/>
        <v>10</v>
      </c>
    </row>
    <row r="35" spans="1:20">
      <c r="A35" t="s">
        <v>167</v>
      </c>
      <c r="B35" s="2">
        <v>45822</v>
      </c>
      <c r="C35" t="s">
        <v>168</v>
      </c>
      <c r="D35" t="s">
        <v>169</v>
      </c>
      <c r="E35" t="s">
        <v>147</v>
      </c>
      <c r="F35" t="s">
        <v>76</v>
      </c>
      <c r="G35" t="s">
        <v>77</v>
      </c>
      <c r="H35" t="s">
        <v>36</v>
      </c>
      <c r="I35" t="s">
        <v>37</v>
      </c>
      <c r="J35" t="s">
        <v>38</v>
      </c>
      <c r="K35">
        <v>4</v>
      </c>
      <c r="L35">
        <v>850</v>
      </c>
      <c r="M35" s="7">
        <v>0.15</v>
      </c>
      <c r="N35">
        <v>110.86</v>
      </c>
      <c r="O35" t="s">
        <v>71</v>
      </c>
      <c r="P35">
        <f t="shared" si="0"/>
        <v>2025</v>
      </c>
      <c r="Q35" t="str">
        <f t="shared" si="1"/>
        <v>Jun</v>
      </c>
      <c r="R35" s="3">
        <f t="shared" si="2"/>
        <v>0.13042352941176472</v>
      </c>
      <c r="S35" t="str">
        <f t="shared" si="3"/>
        <v>Low</v>
      </c>
      <c r="T35">
        <f t="shared" si="4"/>
        <v>6</v>
      </c>
    </row>
    <row r="36" spans="1:20">
      <c r="A36" t="s">
        <v>170</v>
      </c>
      <c r="B36" s="2">
        <v>45701</v>
      </c>
      <c r="C36" t="s">
        <v>41</v>
      </c>
      <c r="D36" t="s">
        <v>42</v>
      </c>
      <c r="E36" t="s">
        <v>147</v>
      </c>
      <c r="F36" t="s">
        <v>76</v>
      </c>
      <c r="G36" t="s">
        <v>77</v>
      </c>
      <c r="H36" t="s">
        <v>27</v>
      </c>
      <c r="I36" t="s">
        <v>46</v>
      </c>
      <c r="J36" t="s">
        <v>46</v>
      </c>
      <c r="K36">
        <v>3</v>
      </c>
      <c r="L36">
        <v>600</v>
      </c>
      <c r="M36" s="7">
        <v>0.2</v>
      </c>
      <c r="N36">
        <v>85.08</v>
      </c>
      <c r="O36" t="s">
        <v>83</v>
      </c>
      <c r="P36">
        <f t="shared" si="0"/>
        <v>2025</v>
      </c>
      <c r="Q36" t="str">
        <f t="shared" si="1"/>
        <v>Feb</v>
      </c>
      <c r="R36" s="3">
        <f t="shared" si="2"/>
        <v>0.14180000000000001</v>
      </c>
      <c r="S36" t="str">
        <f t="shared" si="3"/>
        <v>Low</v>
      </c>
      <c r="T36">
        <f t="shared" si="4"/>
        <v>2</v>
      </c>
    </row>
    <row r="37" spans="1:20">
      <c r="A37" t="s">
        <v>171</v>
      </c>
      <c r="B37" s="2">
        <v>45816</v>
      </c>
      <c r="C37" t="s">
        <v>172</v>
      </c>
      <c r="D37" t="s">
        <v>173</v>
      </c>
      <c r="E37" t="s">
        <v>147</v>
      </c>
      <c r="F37" t="s">
        <v>76</v>
      </c>
      <c r="G37" t="s">
        <v>77</v>
      </c>
      <c r="H37" t="s">
        <v>27</v>
      </c>
      <c r="I37" t="s">
        <v>46</v>
      </c>
      <c r="J37" t="s">
        <v>46</v>
      </c>
      <c r="K37">
        <v>2</v>
      </c>
      <c r="L37">
        <v>350</v>
      </c>
      <c r="M37" s="7">
        <v>0.3</v>
      </c>
      <c r="N37">
        <v>20.3</v>
      </c>
      <c r="O37" t="s">
        <v>39</v>
      </c>
      <c r="P37">
        <f t="shared" si="0"/>
        <v>2025</v>
      </c>
      <c r="Q37" t="str">
        <f t="shared" si="1"/>
        <v>Jun</v>
      </c>
      <c r="R37" s="3">
        <f t="shared" si="2"/>
        <v>5.8000000000000003E-2</v>
      </c>
      <c r="S37" t="str">
        <f t="shared" si="3"/>
        <v>Low</v>
      </c>
      <c r="T37">
        <f t="shared" si="4"/>
        <v>6</v>
      </c>
    </row>
    <row r="38" spans="1:20">
      <c r="A38" t="s">
        <v>174</v>
      </c>
      <c r="B38" s="2">
        <v>45695</v>
      </c>
      <c r="C38" t="s">
        <v>175</v>
      </c>
      <c r="D38" t="s">
        <v>176</v>
      </c>
      <c r="E38" t="s">
        <v>75</v>
      </c>
      <c r="F38" t="s">
        <v>76</v>
      </c>
      <c r="G38" t="s">
        <v>77</v>
      </c>
      <c r="H38" t="s">
        <v>59</v>
      </c>
      <c r="I38" t="s">
        <v>96</v>
      </c>
      <c r="J38" t="s">
        <v>61</v>
      </c>
      <c r="K38">
        <v>4</v>
      </c>
      <c r="L38">
        <v>612</v>
      </c>
      <c r="M38" s="7">
        <v>0.15</v>
      </c>
      <c r="N38">
        <v>125.85</v>
      </c>
      <c r="O38" t="s">
        <v>71</v>
      </c>
      <c r="P38">
        <f t="shared" si="0"/>
        <v>2025</v>
      </c>
      <c r="Q38" t="str">
        <f t="shared" si="1"/>
        <v>Feb</v>
      </c>
      <c r="R38" s="3">
        <f t="shared" si="2"/>
        <v>0.20563725490196078</v>
      </c>
      <c r="S38" t="str">
        <f t="shared" si="3"/>
        <v>Low</v>
      </c>
      <c r="T38">
        <f t="shared" si="4"/>
        <v>2</v>
      </c>
    </row>
    <row r="39" spans="1:20">
      <c r="A39" t="s">
        <v>177</v>
      </c>
      <c r="B39" s="2">
        <v>45782</v>
      </c>
      <c r="C39" t="s">
        <v>178</v>
      </c>
      <c r="D39" t="s">
        <v>86</v>
      </c>
      <c r="E39" t="s">
        <v>43</v>
      </c>
      <c r="F39" t="s">
        <v>44</v>
      </c>
      <c r="G39" t="s">
        <v>45</v>
      </c>
      <c r="H39" t="s">
        <v>36</v>
      </c>
      <c r="I39" t="s">
        <v>37</v>
      </c>
      <c r="J39" t="s">
        <v>38</v>
      </c>
      <c r="K39">
        <v>2</v>
      </c>
      <c r="L39">
        <v>12750</v>
      </c>
      <c r="M39" s="7">
        <v>0.25</v>
      </c>
      <c r="N39">
        <v>1424.6</v>
      </c>
      <c r="O39" t="s">
        <v>83</v>
      </c>
      <c r="P39">
        <f t="shared" si="0"/>
        <v>2025</v>
      </c>
      <c r="Q39" t="str">
        <f t="shared" si="1"/>
        <v>May</v>
      </c>
      <c r="R39" s="3">
        <f t="shared" si="2"/>
        <v>0.11173333333333332</v>
      </c>
      <c r="S39" t="str">
        <f t="shared" si="3"/>
        <v>Low</v>
      </c>
      <c r="T39">
        <f t="shared" si="4"/>
        <v>5</v>
      </c>
    </row>
    <row r="40" spans="1:20">
      <c r="A40" t="s">
        <v>179</v>
      </c>
      <c r="B40" s="2">
        <v>45748</v>
      </c>
      <c r="C40" t="s">
        <v>22</v>
      </c>
      <c r="D40" t="s">
        <v>23</v>
      </c>
      <c r="E40" t="s">
        <v>126</v>
      </c>
      <c r="F40" t="s">
        <v>25</v>
      </c>
      <c r="G40" t="s">
        <v>35</v>
      </c>
      <c r="H40" t="s">
        <v>27</v>
      </c>
      <c r="I40" t="s">
        <v>28</v>
      </c>
      <c r="J40" t="s">
        <v>29</v>
      </c>
      <c r="K40">
        <v>5</v>
      </c>
      <c r="L40">
        <v>61625</v>
      </c>
      <c r="M40" s="7">
        <v>0.15</v>
      </c>
      <c r="N40">
        <v>3124.31</v>
      </c>
      <c r="O40" t="s">
        <v>83</v>
      </c>
      <c r="P40">
        <f t="shared" si="0"/>
        <v>2025</v>
      </c>
      <c r="Q40" t="str">
        <f t="shared" si="1"/>
        <v>Apr</v>
      </c>
      <c r="R40" s="3">
        <f t="shared" si="2"/>
        <v>5.0698742393509126E-2</v>
      </c>
      <c r="S40" t="str">
        <f t="shared" si="3"/>
        <v>High</v>
      </c>
      <c r="T40">
        <f t="shared" si="4"/>
        <v>4</v>
      </c>
    </row>
    <row r="41" spans="1:20">
      <c r="A41" t="s">
        <v>180</v>
      </c>
      <c r="B41" s="2">
        <v>45895</v>
      </c>
      <c r="C41" t="s">
        <v>181</v>
      </c>
      <c r="D41" t="s">
        <v>182</v>
      </c>
      <c r="E41" t="s">
        <v>24</v>
      </c>
      <c r="F41" t="s">
        <v>25</v>
      </c>
      <c r="G41" t="s">
        <v>26</v>
      </c>
      <c r="H41" t="s">
        <v>59</v>
      </c>
      <c r="I41" t="s">
        <v>81</v>
      </c>
      <c r="J41" t="s">
        <v>82</v>
      </c>
      <c r="K41">
        <v>5</v>
      </c>
      <c r="L41">
        <v>7200</v>
      </c>
      <c r="M41" s="7">
        <v>0.2</v>
      </c>
      <c r="N41">
        <v>803.44</v>
      </c>
      <c r="O41" t="s">
        <v>71</v>
      </c>
      <c r="P41">
        <f t="shared" si="0"/>
        <v>2025</v>
      </c>
      <c r="Q41" t="str">
        <f t="shared" si="1"/>
        <v>Aug</v>
      </c>
      <c r="R41" s="3">
        <f t="shared" si="2"/>
        <v>0.11158888888888889</v>
      </c>
      <c r="S41" t="str">
        <f t="shared" si="3"/>
        <v>Low</v>
      </c>
      <c r="T41">
        <f t="shared" si="4"/>
        <v>8</v>
      </c>
    </row>
    <row r="42" spans="1:20">
      <c r="A42" t="s">
        <v>183</v>
      </c>
      <c r="B42" s="2">
        <v>45916</v>
      </c>
      <c r="C42" t="s">
        <v>184</v>
      </c>
      <c r="D42" t="s">
        <v>86</v>
      </c>
      <c r="E42" t="s">
        <v>142</v>
      </c>
      <c r="F42" t="s">
        <v>25</v>
      </c>
      <c r="G42" t="s">
        <v>143</v>
      </c>
      <c r="H42" t="s">
        <v>59</v>
      </c>
      <c r="I42" t="s">
        <v>60</v>
      </c>
      <c r="J42" t="s">
        <v>61</v>
      </c>
      <c r="K42">
        <v>4</v>
      </c>
      <c r="L42">
        <v>32200</v>
      </c>
      <c r="M42" s="7">
        <v>0.3</v>
      </c>
      <c r="N42">
        <v>5407.26</v>
      </c>
      <c r="O42" t="s">
        <v>39</v>
      </c>
      <c r="P42">
        <f t="shared" si="0"/>
        <v>2025</v>
      </c>
      <c r="Q42" t="str">
        <f t="shared" si="1"/>
        <v>Sep</v>
      </c>
      <c r="R42" s="3">
        <f t="shared" si="2"/>
        <v>0.1679273291925466</v>
      </c>
      <c r="S42" t="str">
        <f t="shared" si="3"/>
        <v>High</v>
      </c>
      <c r="T42">
        <f t="shared" si="4"/>
        <v>9</v>
      </c>
    </row>
    <row r="43" spans="1:20">
      <c r="A43" t="s">
        <v>185</v>
      </c>
      <c r="B43" s="2">
        <v>45790</v>
      </c>
      <c r="C43" t="s">
        <v>175</v>
      </c>
      <c r="D43" t="s">
        <v>176</v>
      </c>
      <c r="E43" t="s">
        <v>87</v>
      </c>
      <c r="F43" t="s">
        <v>44</v>
      </c>
      <c r="G43" t="s">
        <v>88</v>
      </c>
      <c r="H43" t="s">
        <v>59</v>
      </c>
      <c r="I43" t="s">
        <v>96</v>
      </c>
      <c r="J43" t="s">
        <v>61</v>
      </c>
      <c r="K43">
        <v>2</v>
      </c>
      <c r="L43">
        <v>16800</v>
      </c>
      <c r="M43" s="7">
        <v>0.3</v>
      </c>
      <c r="N43">
        <v>1513.62</v>
      </c>
      <c r="O43" t="s">
        <v>30</v>
      </c>
      <c r="P43">
        <f t="shared" si="0"/>
        <v>2025</v>
      </c>
      <c r="Q43" t="str">
        <f t="shared" si="1"/>
        <v>May</v>
      </c>
      <c r="R43" s="3">
        <f t="shared" si="2"/>
        <v>9.0096428571428563E-2</v>
      </c>
      <c r="S43" t="str">
        <f t="shared" si="3"/>
        <v>Low</v>
      </c>
      <c r="T43">
        <f t="shared" si="4"/>
        <v>5</v>
      </c>
    </row>
    <row r="44" spans="1:20">
      <c r="A44" t="s">
        <v>186</v>
      </c>
      <c r="B44" s="2">
        <v>45780</v>
      </c>
      <c r="C44" t="s">
        <v>51</v>
      </c>
      <c r="D44" t="s">
        <v>52</v>
      </c>
      <c r="E44" t="s">
        <v>147</v>
      </c>
      <c r="F44" t="s">
        <v>76</v>
      </c>
      <c r="G44" t="s">
        <v>77</v>
      </c>
      <c r="H44" t="s">
        <v>36</v>
      </c>
      <c r="I44" t="s">
        <v>37</v>
      </c>
      <c r="J44" t="s">
        <v>38</v>
      </c>
      <c r="K44">
        <v>3</v>
      </c>
      <c r="L44">
        <v>637.5</v>
      </c>
      <c r="M44" s="7">
        <v>0.15</v>
      </c>
      <c r="N44">
        <v>34.92</v>
      </c>
      <c r="O44" t="s">
        <v>91</v>
      </c>
      <c r="P44">
        <f t="shared" si="0"/>
        <v>2025</v>
      </c>
      <c r="Q44" t="str">
        <f t="shared" si="1"/>
        <v>May</v>
      </c>
      <c r="R44" s="3">
        <f t="shared" si="2"/>
        <v>5.4776470588235295E-2</v>
      </c>
      <c r="S44" t="str">
        <f t="shared" si="3"/>
        <v>Low</v>
      </c>
      <c r="T44">
        <f t="shared" si="4"/>
        <v>5</v>
      </c>
    </row>
    <row r="45" spans="1:20">
      <c r="A45" t="s">
        <v>187</v>
      </c>
      <c r="B45" s="2">
        <v>45934</v>
      </c>
      <c r="C45" t="s">
        <v>112</v>
      </c>
      <c r="D45" t="s">
        <v>113</v>
      </c>
      <c r="E45" t="s">
        <v>160</v>
      </c>
      <c r="F45" t="s">
        <v>25</v>
      </c>
      <c r="G45" t="s">
        <v>161</v>
      </c>
      <c r="H45" t="s">
        <v>36</v>
      </c>
      <c r="I45" t="s">
        <v>115</v>
      </c>
      <c r="J45" t="s">
        <v>116</v>
      </c>
      <c r="K45">
        <v>1</v>
      </c>
      <c r="L45">
        <v>3040</v>
      </c>
      <c r="M45" s="7">
        <v>0.05</v>
      </c>
      <c r="N45">
        <v>289.95</v>
      </c>
      <c r="O45" t="s">
        <v>39</v>
      </c>
      <c r="P45">
        <f t="shared" si="0"/>
        <v>2025</v>
      </c>
      <c r="Q45" t="str">
        <f t="shared" si="1"/>
        <v>Oct</v>
      </c>
      <c r="R45" s="3">
        <f t="shared" si="2"/>
        <v>9.5378289473684208E-2</v>
      </c>
      <c r="S45" t="str">
        <f t="shared" si="3"/>
        <v>Low</v>
      </c>
      <c r="T45">
        <f t="shared" si="4"/>
        <v>10</v>
      </c>
    </row>
    <row r="46" spans="1:20">
      <c r="A46" t="s">
        <v>188</v>
      </c>
      <c r="B46" s="2">
        <v>45870</v>
      </c>
      <c r="C46" t="s">
        <v>189</v>
      </c>
      <c r="D46" t="s">
        <v>190</v>
      </c>
      <c r="E46" t="s">
        <v>70</v>
      </c>
      <c r="F46" t="s">
        <v>25</v>
      </c>
      <c r="G46" t="s">
        <v>26</v>
      </c>
      <c r="H46" t="s">
        <v>36</v>
      </c>
      <c r="I46" t="s">
        <v>115</v>
      </c>
      <c r="J46" t="s">
        <v>116</v>
      </c>
      <c r="K46">
        <v>4</v>
      </c>
      <c r="L46">
        <v>4320</v>
      </c>
      <c r="M46" s="7">
        <v>0.1</v>
      </c>
      <c r="N46">
        <v>683.11</v>
      </c>
      <c r="O46" t="s">
        <v>39</v>
      </c>
      <c r="P46">
        <f t="shared" si="0"/>
        <v>2025</v>
      </c>
      <c r="Q46" t="str">
        <f t="shared" si="1"/>
        <v>Aug</v>
      </c>
      <c r="R46" s="3">
        <f t="shared" si="2"/>
        <v>0.15812731481481482</v>
      </c>
      <c r="S46" t="str">
        <f t="shared" si="3"/>
        <v>Low</v>
      </c>
      <c r="T46">
        <f t="shared" si="4"/>
        <v>8</v>
      </c>
    </row>
    <row r="47" spans="1:20">
      <c r="A47" t="s">
        <v>191</v>
      </c>
      <c r="B47" s="2">
        <v>45957</v>
      </c>
      <c r="C47" t="s">
        <v>192</v>
      </c>
      <c r="D47" t="s">
        <v>193</v>
      </c>
      <c r="E47" t="s">
        <v>43</v>
      </c>
      <c r="F47" t="s">
        <v>44</v>
      </c>
      <c r="G47" t="s">
        <v>45</v>
      </c>
      <c r="H47" t="s">
        <v>59</v>
      </c>
      <c r="I47" t="s">
        <v>60</v>
      </c>
      <c r="J47" t="s">
        <v>61</v>
      </c>
      <c r="K47">
        <v>1</v>
      </c>
      <c r="L47">
        <v>5950</v>
      </c>
      <c r="M47" s="7">
        <v>0.3</v>
      </c>
      <c r="N47">
        <v>910.08</v>
      </c>
      <c r="O47" t="s">
        <v>71</v>
      </c>
      <c r="P47">
        <f t="shared" si="0"/>
        <v>2025</v>
      </c>
      <c r="Q47" t="str">
        <f t="shared" si="1"/>
        <v>Oct</v>
      </c>
      <c r="R47" s="3">
        <f t="shared" si="2"/>
        <v>0.15295462184873951</v>
      </c>
      <c r="S47" t="str">
        <f t="shared" si="3"/>
        <v>Low</v>
      </c>
      <c r="T47">
        <f t="shared" si="4"/>
        <v>10</v>
      </c>
    </row>
    <row r="48" spans="1:20">
      <c r="A48" t="s">
        <v>194</v>
      </c>
      <c r="B48" s="2">
        <v>45810</v>
      </c>
      <c r="C48" t="s">
        <v>195</v>
      </c>
      <c r="D48" t="s">
        <v>196</v>
      </c>
      <c r="E48" t="s">
        <v>160</v>
      </c>
      <c r="F48" t="s">
        <v>25</v>
      </c>
      <c r="G48" t="s">
        <v>161</v>
      </c>
      <c r="H48" t="s">
        <v>59</v>
      </c>
      <c r="I48" t="s">
        <v>96</v>
      </c>
      <c r="J48" t="s">
        <v>61</v>
      </c>
      <c r="K48">
        <v>4</v>
      </c>
      <c r="L48">
        <v>8960</v>
      </c>
      <c r="M48" s="7">
        <v>0.3</v>
      </c>
      <c r="N48">
        <v>1215.4100000000001</v>
      </c>
      <c r="O48" t="s">
        <v>30</v>
      </c>
      <c r="P48">
        <f t="shared" si="0"/>
        <v>2025</v>
      </c>
      <c r="Q48" t="str">
        <f t="shared" si="1"/>
        <v>Jun</v>
      </c>
      <c r="R48" s="3">
        <f t="shared" si="2"/>
        <v>0.1356484375</v>
      </c>
      <c r="S48" t="str">
        <f t="shared" si="3"/>
        <v>Low</v>
      </c>
      <c r="T48">
        <f t="shared" si="4"/>
        <v>6</v>
      </c>
    </row>
    <row r="49" spans="1:20">
      <c r="A49" t="s">
        <v>197</v>
      </c>
      <c r="B49" s="2">
        <v>45966</v>
      </c>
      <c r="C49" t="s">
        <v>198</v>
      </c>
      <c r="D49" t="s">
        <v>199</v>
      </c>
      <c r="E49" t="s">
        <v>114</v>
      </c>
      <c r="F49" t="s">
        <v>57</v>
      </c>
      <c r="G49" t="s">
        <v>58</v>
      </c>
      <c r="H49" t="s">
        <v>59</v>
      </c>
      <c r="I49" t="s">
        <v>96</v>
      </c>
      <c r="J49" t="s">
        <v>61</v>
      </c>
      <c r="K49">
        <v>2</v>
      </c>
      <c r="L49">
        <v>1190</v>
      </c>
      <c r="M49" s="7">
        <v>0.15</v>
      </c>
      <c r="N49">
        <v>92.27</v>
      </c>
      <c r="O49" t="s">
        <v>83</v>
      </c>
      <c r="P49">
        <f t="shared" si="0"/>
        <v>2025</v>
      </c>
      <c r="Q49" t="str">
        <f t="shared" si="1"/>
        <v>Nov</v>
      </c>
      <c r="R49" s="3">
        <f t="shared" si="2"/>
        <v>7.7537815126050416E-2</v>
      </c>
      <c r="S49" t="str">
        <f t="shared" si="3"/>
        <v>Low</v>
      </c>
      <c r="T49">
        <f t="shared" si="4"/>
        <v>11</v>
      </c>
    </row>
    <row r="50" spans="1:20">
      <c r="A50" t="s">
        <v>200</v>
      </c>
      <c r="B50" s="2">
        <v>46000</v>
      </c>
      <c r="C50" t="s">
        <v>201</v>
      </c>
      <c r="D50" t="s">
        <v>202</v>
      </c>
      <c r="E50" t="s">
        <v>160</v>
      </c>
      <c r="F50" t="s">
        <v>25</v>
      </c>
      <c r="G50" t="s">
        <v>161</v>
      </c>
      <c r="H50" t="s">
        <v>27</v>
      </c>
      <c r="I50" t="s">
        <v>46</v>
      </c>
      <c r="J50" t="s">
        <v>46</v>
      </c>
      <c r="K50">
        <v>4</v>
      </c>
      <c r="L50">
        <v>9600</v>
      </c>
      <c r="M50" s="7">
        <v>0.25</v>
      </c>
      <c r="N50">
        <v>324.45</v>
      </c>
      <c r="O50" t="s">
        <v>39</v>
      </c>
      <c r="P50">
        <f t="shared" si="0"/>
        <v>2025</v>
      </c>
      <c r="Q50" t="str">
        <f t="shared" si="1"/>
        <v>Dec</v>
      </c>
      <c r="R50" s="3">
        <f t="shared" si="2"/>
        <v>3.3796874999999997E-2</v>
      </c>
      <c r="S50" t="str">
        <f t="shared" si="3"/>
        <v>Low</v>
      </c>
      <c r="T50">
        <f t="shared" si="4"/>
        <v>12</v>
      </c>
    </row>
    <row r="51" spans="1:20">
      <c r="A51" t="s">
        <v>203</v>
      </c>
      <c r="B51" s="2">
        <v>45671</v>
      </c>
      <c r="C51" t="s">
        <v>131</v>
      </c>
      <c r="D51" t="s">
        <v>132</v>
      </c>
      <c r="E51" t="s">
        <v>121</v>
      </c>
      <c r="F51" t="s">
        <v>44</v>
      </c>
      <c r="G51" t="s">
        <v>122</v>
      </c>
      <c r="H51" t="s">
        <v>36</v>
      </c>
      <c r="I51" t="s">
        <v>89</v>
      </c>
      <c r="J51" t="s">
        <v>90</v>
      </c>
      <c r="K51">
        <v>4</v>
      </c>
      <c r="L51">
        <v>20800</v>
      </c>
      <c r="M51" s="7">
        <v>0.2</v>
      </c>
      <c r="N51">
        <v>3151.68</v>
      </c>
      <c r="O51" t="s">
        <v>71</v>
      </c>
      <c r="P51">
        <f t="shared" si="0"/>
        <v>2025</v>
      </c>
      <c r="Q51" t="str">
        <f t="shared" si="1"/>
        <v>Jan</v>
      </c>
      <c r="R51" s="3">
        <f t="shared" si="2"/>
        <v>0.15152307692307693</v>
      </c>
      <c r="S51" t="str">
        <f t="shared" si="3"/>
        <v>Low</v>
      </c>
      <c r="T51">
        <f t="shared" si="4"/>
        <v>1</v>
      </c>
    </row>
    <row r="52" spans="1:20">
      <c r="A52" t="s">
        <v>204</v>
      </c>
      <c r="B52" s="2">
        <v>45894</v>
      </c>
      <c r="C52" t="s">
        <v>101</v>
      </c>
      <c r="D52" t="s">
        <v>102</v>
      </c>
      <c r="E52" t="s">
        <v>142</v>
      </c>
      <c r="F52" t="s">
        <v>25</v>
      </c>
      <c r="G52" t="s">
        <v>143</v>
      </c>
      <c r="H52" t="s">
        <v>27</v>
      </c>
      <c r="I52" t="s">
        <v>28</v>
      </c>
      <c r="J52" t="s">
        <v>29</v>
      </c>
      <c r="K52">
        <v>2</v>
      </c>
      <c r="L52">
        <v>23000</v>
      </c>
      <c r="M52" s="7">
        <v>0</v>
      </c>
      <c r="N52">
        <v>3036.72</v>
      </c>
      <c r="O52" t="s">
        <v>71</v>
      </c>
      <c r="P52">
        <f t="shared" si="0"/>
        <v>2025</v>
      </c>
      <c r="Q52" t="str">
        <f t="shared" si="1"/>
        <v>Aug</v>
      </c>
      <c r="R52" s="3">
        <f t="shared" si="2"/>
        <v>0.13203130434782609</v>
      </c>
      <c r="S52" t="str">
        <f t="shared" si="3"/>
        <v>Low</v>
      </c>
      <c r="T52">
        <f t="shared" si="4"/>
        <v>8</v>
      </c>
    </row>
    <row r="53" spans="1:20">
      <c r="A53" t="s">
        <v>205</v>
      </c>
      <c r="B53" s="2">
        <v>45852</v>
      </c>
      <c r="C53" t="s">
        <v>206</v>
      </c>
      <c r="D53" t="s">
        <v>207</v>
      </c>
      <c r="E53" t="s">
        <v>160</v>
      </c>
      <c r="F53" t="s">
        <v>25</v>
      </c>
      <c r="G53" t="s">
        <v>161</v>
      </c>
      <c r="H53" t="s">
        <v>59</v>
      </c>
      <c r="I53" t="s">
        <v>81</v>
      </c>
      <c r="J53" t="s">
        <v>82</v>
      </c>
      <c r="K53">
        <v>3</v>
      </c>
      <c r="L53">
        <v>6720</v>
      </c>
      <c r="M53" s="7">
        <v>0.3</v>
      </c>
      <c r="N53">
        <v>1200.3499999999999</v>
      </c>
      <c r="O53" t="s">
        <v>83</v>
      </c>
      <c r="P53">
        <f t="shared" si="0"/>
        <v>2025</v>
      </c>
      <c r="Q53" t="str">
        <f t="shared" si="1"/>
        <v>Jul</v>
      </c>
      <c r="R53" s="3">
        <f t="shared" si="2"/>
        <v>0.17862351190476189</v>
      </c>
      <c r="S53" t="str">
        <f t="shared" si="3"/>
        <v>Low</v>
      </c>
      <c r="T53">
        <f t="shared" si="4"/>
        <v>7</v>
      </c>
    </row>
    <row r="54" spans="1:20">
      <c r="A54" t="s">
        <v>208</v>
      </c>
      <c r="B54" s="2">
        <v>45934</v>
      </c>
      <c r="C54" t="s">
        <v>175</v>
      </c>
      <c r="D54" t="s">
        <v>176</v>
      </c>
      <c r="E54" t="s">
        <v>34</v>
      </c>
      <c r="F54" t="s">
        <v>25</v>
      </c>
      <c r="G54" t="s">
        <v>35</v>
      </c>
      <c r="H54" t="s">
        <v>59</v>
      </c>
      <c r="I54" t="s">
        <v>96</v>
      </c>
      <c r="J54" t="s">
        <v>61</v>
      </c>
      <c r="K54">
        <v>1</v>
      </c>
      <c r="L54">
        <v>49500</v>
      </c>
      <c r="M54" s="7">
        <v>0.1</v>
      </c>
      <c r="N54">
        <v>5104.88</v>
      </c>
      <c r="O54" t="s">
        <v>83</v>
      </c>
      <c r="P54">
        <f t="shared" si="0"/>
        <v>2025</v>
      </c>
      <c r="Q54" t="str">
        <f t="shared" si="1"/>
        <v>Oct</v>
      </c>
      <c r="R54" s="3">
        <f t="shared" si="2"/>
        <v>0.10312888888888889</v>
      </c>
      <c r="S54" t="str">
        <f t="shared" si="3"/>
        <v>High</v>
      </c>
      <c r="T54">
        <f t="shared" si="4"/>
        <v>10</v>
      </c>
    </row>
    <row r="55" spans="1:20">
      <c r="A55" t="s">
        <v>209</v>
      </c>
      <c r="B55" s="2">
        <v>45760</v>
      </c>
      <c r="C55" t="s">
        <v>145</v>
      </c>
      <c r="D55" t="s">
        <v>146</v>
      </c>
      <c r="E55" t="s">
        <v>126</v>
      </c>
      <c r="F55" t="s">
        <v>25</v>
      </c>
      <c r="G55" t="s">
        <v>35</v>
      </c>
      <c r="H55" t="s">
        <v>36</v>
      </c>
      <c r="I55" t="s">
        <v>115</v>
      </c>
      <c r="J55" t="s">
        <v>116</v>
      </c>
      <c r="K55">
        <v>1</v>
      </c>
      <c r="L55">
        <v>11600</v>
      </c>
      <c r="M55" s="7">
        <v>0.2</v>
      </c>
      <c r="N55">
        <v>744.32</v>
      </c>
      <c r="O55" t="s">
        <v>83</v>
      </c>
      <c r="P55">
        <f t="shared" si="0"/>
        <v>2025</v>
      </c>
      <c r="Q55" t="str">
        <f t="shared" si="1"/>
        <v>Apr</v>
      </c>
      <c r="R55" s="3">
        <f t="shared" si="2"/>
        <v>6.4165517241379311E-2</v>
      </c>
      <c r="S55" t="str">
        <f t="shared" si="3"/>
        <v>Low</v>
      </c>
      <c r="T55">
        <f t="shared" si="4"/>
        <v>4</v>
      </c>
    </row>
    <row r="56" spans="1:20">
      <c r="A56" t="s">
        <v>210</v>
      </c>
      <c r="B56" s="2">
        <v>45896</v>
      </c>
      <c r="C56" t="s">
        <v>211</v>
      </c>
      <c r="D56" t="s">
        <v>212</v>
      </c>
      <c r="E56" t="s">
        <v>126</v>
      </c>
      <c r="F56" t="s">
        <v>25</v>
      </c>
      <c r="G56" t="s">
        <v>35</v>
      </c>
      <c r="H56" t="s">
        <v>127</v>
      </c>
      <c r="I56" t="s">
        <v>128</v>
      </c>
      <c r="J56" t="s">
        <v>129</v>
      </c>
      <c r="K56">
        <v>3</v>
      </c>
      <c r="L56">
        <v>30450</v>
      </c>
      <c r="M56" s="7">
        <v>0.3</v>
      </c>
      <c r="N56">
        <v>1471.86</v>
      </c>
      <c r="O56" t="s">
        <v>83</v>
      </c>
      <c r="P56">
        <f t="shared" si="0"/>
        <v>2025</v>
      </c>
      <c r="Q56" t="str">
        <f t="shared" si="1"/>
        <v>Aug</v>
      </c>
      <c r="R56" s="3">
        <f t="shared" si="2"/>
        <v>4.8336945812807876E-2</v>
      </c>
      <c r="S56" t="str">
        <f t="shared" si="3"/>
        <v>High</v>
      </c>
      <c r="T56">
        <f t="shared" si="4"/>
        <v>8</v>
      </c>
    </row>
    <row r="57" spans="1:20">
      <c r="A57" t="s">
        <v>213</v>
      </c>
      <c r="B57" s="2">
        <v>45713</v>
      </c>
      <c r="C57" t="s">
        <v>63</v>
      </c>
      <c r="D57" t="s">
        <v>64</v>
      </c>
      <c r="E57" t="s">
        <v>103</v>
      </c>
      <c r="F57" t="s">
        <v>25</v>
      </c>
      <c r="G57" t="s">
        <v>104</v>
      </c>
      <c r="H57" t="s">
        <v>27</v>
      </c>
      <c r="I57" t="s">
        <v>65</v>
      </c>
      <c r="J57" t="s">
        <v>66</v>
      </c>
      <c r="K57">
        <v>5</v>
      </c>
      <c r="L57">
        <v>140000</v>
      </c>
      <c r="M57" s="7">
        <v>0</v>
      </c>
      <c r="N57">
        <v>37208.839999999997</v>
      </c>
      <c r="O57" t="s">
        <v>71</v>
      </c>
      <c r="P57">
        <f t="shared" si="0"/>
        <v>2025</v>
      </c>
      <c r="Q57" t="str">
        <f t="shared" si="1"/>
        <v>Feb</v>
      </c>
      <c r="R57" s="3">
        <f t="shared" si="2"/>
        <v>0.26577742857142855</v>
      </c>
      <c r="S57" t="str">
        <f t="shared" si="3"/>
        <v>High</v>
      </c>
      <c r="T57">
        <f t="shared" si="4"/>
        <v>2</v>
      </c>
    </row>
    <row r="58" spans="1:20">
      <c r="A58" t="s">
        <v>214</v>
      </c>
      <c r="B58" s="2">
        <v>45759</v>
      </c>
      <c r="C58" t="s">
        <v>215</v>
      </c>
      <c r="D58" t="s">
        <v>216</v>
      </c>
      <c r="E58" t="s">
        <v>56</v>
      </c>
      <c r="F58" t="s">
        <v>57</v>
      </c>
      <c r="G58" t="s">
        <v>58</v>
      </c>
      <c r="H58" t="s">
        <v>59</v>
      </c>
      <c r="I58" t="s">
        <v>81</v>
      </c>
      <c r="J58" t="s">
        <v>82</v>
      </c>
      <c r="K58">
        <v>1</v>
      </c>
      <c r="L58">
        <v>1280</v>
      </c>
      <c r="M58" s="7">
        <v>0.2</v>
      </c>
      <c r="N58">
        <v>187.85</v>
      </c>
      <c r="O58" t="s">
        <v>83</v>
      </c>
      <c r="P58">
        <f t="shared" si="0"/>
        <v>2025</v>
      </c>
      <c r="Q58" t="str">
        <f t="shared" si="1"/>
        <v>Apr</v>
      </c>
      <c r="R58" s="3">
        <f t="shared" si="2"/>
        <v>0.1467578125</v>
      </c>
      <c r="S58" t="str">
        <f t="shared" si="3"/>
        <v>Low</v>
      </c>
      <c r="T58">
        <f t="shared" si="4"/>
        <v>4</v>
      </c>
    </row>
    <row r="59" spans="1:20">
      <c r="A59" t="s">
        <v>217</v>
      </c>
      <c r="B59" s="2">
        <v>46008</v>
      </c>
      <c r="C59" t="s">
        <v>98</v>
      </c>
      <c r="D59" t="s">
        <v>99</v>
      </c>
      <c r="E59" t="s">
        <v>142</v>
      </c>
      <c r="F59" t="s">
        <v>25</v>
      </c>
      <c r="G59" t="s">
        <v>143</v>
      </c>
      <c r="H59" t="s">
        <v>36</v>
      </c>
      <c r="I59" t="s">
        <v>89</v>
      </c>
      <c r="J59" t="s">
        <v>90</v>
      </c>
      <c r="K59">
        <v>5</v>
      </c>
      <c r="L59">
        <v>40250</v>
      </c>
      <c r="M59" s="7">
        <v>0.3</v>
      </c>
      <c r="N59">
        <v>-1190.49</v>
      </c>
      <c r="O59" t="s">
        <v>83</v>
      </c>
      <c r="P59">
        <f t="shared" si="0"/>
        <v>2025</v>
      </c>
      <c r="Q59" t="str">
        <f t="shared" si="1"/>
        <v>Dec</v>
      </c>
      <c r="R59" s="3">
        <f t="shared" si="2"/>
        <v>-2.9577391304347826E-2</v>
      </c>
      <c r="S59" t="str">
        <f t="shared" si="3"/>
        <v>High</v>
      </c>
      <c r="T59">
        <f t="shared" si="4"/>
        <v>12</v>
      </c>
    </row>
    <row r="60" spans="1:20">
      <c r="A60" t="s">
        <v>218</v>
      </c>
      <c r="B60" s="2">
        <v>45877</v>
      </c>
      <c r="C60" t="s">
        <v>149</v>
      </c>
      <c r="D60" t="s">
        <v>150</v>
      </c>
      <c r="E60" t="s">
        <v>121</v>
      </c>
      <c r="F60" t="s">
        <v>44</v>
      </c>
      <c r="G60" t="s">
        <v>122</v>
      </c>
      <c r="H60" t="s">
        <v>59</v>
      </c>
      <c r="I60" t="s">
        <v>96</v>
      </c>
      <c r="J60" t="s">
        <v>61</v>
      </c>
      <c r="K60">
        <v>3</v>
      </c>
      <c r="L60">
        <v>19500</v>
      </c>
      <c r="M60" s="7">
        <v>0</v>
      </c>
      <c r="N60">
        <v>3533.25</v>
      </c>
      <c r="O60" t="s">
        <v>71</v>
      </c>
      <c r="P60">
        <f t="shared" si="0"/>
        <v>2025</v>
      </c>
      <c r="Q60" t="str">
        <f t="shared" si="1"/>
        <v>Aug</v>
      </c>
      <c r="R60" s="3">
        <f t="shared" si="2"/>
        <v>0.18119230769230768</v>
      </c>
      <c r="S60" t="str">
        <f t="shared" si="3"/>
        <v>Low</v>
      </c>
      <c r="T60">
        <f t="shared" si="4"/>
        <v>8</v>
      </c>
    </row>
    <row r="61" spans="1:20">
      <c r="A61" t="s">
        <v>219</v>
      </c>
      <c r="B61" s="2">
        <v>45879</v>
      </c>
      <c r="C61" t="s">
        <v>51</v>
      </c>
      <c r="D61" t="s">
        <v>52</v>
      </c>
      <c r="E61" t="s">
        <v>70</v>
      </c>
      <c r="F61" t="s">
        <v>25</v>
      </c>
      <c r="G61" t="s">
        <v>26</v>
      </c>
      <c r="H61" t="s">
        <v>36</v>
      </c>
      <c r="I61" t="s">
        <v>37</v>
      </c>
      <c r="J61" t="s">
        <v>38</v>
      </c>
      <c r="K61">
        <v>3</v>
      </c>
      <c r="L61">
        <v>2700</v>
      </c>
      <c r="M61" s="7">
        <v>0.25</v>
      </c>
      <c r="N61">
        <v>484.87</v>
      </c>
      <c r="O61" t="s">
        <v>39</v>
      </c>
      <c r="P61">
        <f t="shared" si="0"/>
        <v>2025</v>
      </c>
      <c r="Q61" t="str">
        <f t="shared" si="1"/>
        <v>Aug</v>
      </c>
      <c r="R61" s="3">
        <f t="shared" si="2"/>
        <v>0.17958148148148148</v>
      </c>
      <c r="S61" t="str">
        <f t="shared" si="3"/>
        <v>Low</v>
      </c>
      <c r="T61">
        <f t="shared" si="4"/>
        <v>8</v>
      </c>
    </row>
    <row r="62" spans="1:20">
      <c r="A62" t="s">
        <v>220</v>
      </c>
      <c r="B62" s="2">
        <v>45925</v>
      </c>
      <c r="C62" t="s">
        <v>221</v>
      </c>
      <c r="D62" t="s">
        <v>222</v>
      </c>
      <c r="E62" t="s">
        <v>24</v>
      </c>
      <c r="F62" t="s">
        <v>25</v>
      </c>
      <c r="G62" t="s">
        <v>26</v>
      </c>
      <c r="H62" t="s">
        <v>127</v>
      </c>
      <c r="I62" t="s">
        <v>128</v>
      </c>
      <c r="J62" t="s">
        <v>129</v>
      </c>
      <c r="K62">
        <v>3</v>
      </c>
      <c r="L62">
        <v>4320</v>
      </c>
      <c r="M62" s="7">
        <v>0.2</v>
      </c>
      <c r="N62">
        <v>754.84</v>
      </c>
      <c r="O62" t="s">
        <v>71</v>
      </c>
      <c r="P62">
        <f t="shared" si="0"/>
        <v>2025</v>
      </c>
      <c r="Q62" t="str">
        <f t="shared" si="1"/>
        <v>Sep</v>
      </c>
      <c r="R62" s="3">
        <f t="shared" si="2"/>
        <v>0.17473148148148149</v>
      </c>
      <c r="S62" t="str">
        <f t="shared" si="3"/>
        <v>Low</v>
      </c>
      <c r="T62">
        <f t="shared" si="4"/>
        <v>9</v>
      </c>
    </row>
    <row r="63" spans="1:20">
      <c r="A63" t="s">
        <v>223</v>
      </c>
      <c r="B63" s="2">
        <v>45961</v>
      </c>
      <c r="C63" t="s">
        <v>224</v>
      </c>
      <c r="D63" t="s">
        <v>225</v>
      </c>
      <c r="E63" t="s">
        <v>43</v>
      </c>
      <c r="F63" t="s">
        <v>44</v>
      </c>
      <c r="G63" t="s">
        <v>45</v>
      </c>
      <c r="H63" t="s">
        <v>59</v>
      </c>
      <c r="I63" t="s">
        <v>60</v>
      </c>
      <c r="J63" t="s">
        <v>61</v>
      </c>
      <c r="K63">
        <v>3</v>
      </c>
      <c r="L63">
        <v>22950</v>
      </c>
      <c r="M63" s="7">
        <v>0.1</v>
      </c>
      <c r="N63">
        <v>4809.7299999999996</v>
      </c>
      <c r="O63" t="s">
        <v>83</v>
      </c>
      <c r="P63">
        <f t="shared" si="0"/>
        <v>2025</v>
      </c>
      <c r="Q63" t="str">
        <f t="shared" si="1"/>
        <v>Oct</v>
      </c>
      <c r="R63" s="3">
        <f t="shared" si="2"/>
        <v>0.20957429193899779</v>
      </c>
      <c r="S63" t="str">
        <f t="shared" si="3"/>
        <v>Low</v>
      </c>
      <c r="T63">
        <f t="shared" si="4"/>
        <v>10</v>
      </c>
    </row>
    <row r="64" spans="1:20">
      <c r="A64" t="s">
        <v>226</v>
      </c>
      <c r="B64" s="2">
        <v>45888</v>
      </c>
      <c r="C64" t="s">
        <v>227</v>
      </c>
      <c r="D64" t="s">
        <v>228</v>
      </c>
      <c r="E64" t="s">
        <v>95</v>
      </c>
      <c r="F64" t="s">
        <v>25</v>
      </c>
      <c r="G64" t="s">
        <v>26</v>
      </c>
      <c r="H64" t="s">
        <v>27</v>
      </c>
      <c r="I64" t="s">
        <v>65</v>
      </c>
      <c r="J64" t="s">
        <v>66</v>
      </c>
      <c r="K64">
        <v>2</v>
      </c>
      <c r="L64">
        <v>630</v>
      </c>
      <c r="M64" s="7">
        <v>0.3</v>
      </c>
      <c r="N64">
        <v>42.32</v>
      </c>
      <c r="O64" t="s">
        <v>71</v>
      </c>
      <c r="P64">
        <f t="shared" si="0"/>
        <v>2025</v>
      </c>
      <c r="Q64" t="str">
        <f t="shared" si="1"/>
        <v>Aug</v>
      </c>
      <c r="R64" s="3">
        <f t="shared" si="2"/>
        <v>6.7174603174603179E-2</v>
      </c>
      <c r="S64" t="str">
        <f t="shared" si="3"/>
        <v>Low</v>
      </c>
      <c r="T64">
        <f t="shared" si="4"/>
        <v>8</v>
      </c>
    </row>
    <row r="65" spans="1:20">
      <c r="A65" t="s">
        <v>229</v>
      </c>
      <c r="B65" s="2">
        <v>45911</v>
      </c>
      <c r="C65" t="s">
        <v>230</v>
      </c>
      <c r="D65" t="s">
        <v>231</v>
      </c>
      <c r="E65" t="s">
        <v>34</v>
      </c>
      <c r="F65" t="s">
        <v>25</v>
      </c>
      <c r="G65" t="s">
        <v>35</v>
      </c>
      <c r="H65" t="s">
        <v>59</v>
      </c>
      <c r="I65" t="s">
        <v>96</v>
      </c>
      <c r="J65" t="s">
        <v>61</v>
      </c>
      <c r="K65">
        <v>3</v>
      </c>
      <c r="L65">
        <v>156750</v>
      </c>
      <c r="M65" s="7">
        <v>0.05</v>
      </c>
      <c r="N65">
        <v>25561.96</v>
      </c>
      <c r="O65" t="s">
        <v>91</v>
      </c>
      <c r="P65">
        <f t="shared" si="0"/>
        <v>2025</v>
      </c>
      <c r="Q65" t="str">
        <f t="shared" si="1"/>
        <v>Sep</v>
      </c>
      <c r="R65" s="3">
        <f t="shared" si="2"/>
        <v>0.16307470494417861</v>
      </c>
      <c r="S65" t="str">
        <f t="shared" si="3"/>
        <v>High</v>
      </c>
      <c r="T65">
        <f t="shared" si="4"/>
        <v>9</v>
      </c>
    </row>
    <row r="66" spans="1:20">
      <c r="A66" t="s">
        <v>232</v>
      </c>
      <c r="B66" s="2">
        <v>45963</v>
      </c>
      <c r="C66" t="s">
        <v>230</v>
      </c>
      <c r="D66" t="s">
        <v>231</v>
      </c>
      <c r="E66" t="s">
        <v>103</v>
      </c>
      <c r="F66" t="s">
        <v>25</v>
      </c>
      <c r="G66" t="s">
        <v>104</v>
      </c>
      <c r="H66" t="s">
        <v>59</v>
      </c>
      <c r="I66" t="s">
        <v>96</v>
      </c>
      <c r="J66" t="s">
        <v>61</v>
      </c>
      <c r="K66">
        <v>3</v>
      </c>
      <c r="L66">
        <v>67200</v>
      </c>
      <c r="M66" s="7">
        <v>0.2</v>
      </c>
      <c r="N66">
        <v>-361.06</v>
      </c>
      <c r="O66" t="s">
        <v>83</v>
      </c>
      <c r="P66">
        <f t="shared" ref="P66:P129" si="5">YEAR(B66)</f>
        <v>2025</v>
      </c>
      <c r="Q66" t="str">
        <f t="shared" ref="Q66:Q129" si="6">TEXT(B66,"mmm")</f>
        <v>Nov</v>
      </c>
      <c r="R66" s="3">
        <f t="shared" ref="R66:R129" si="7">N66/L66</f>
        <v>-5.3729166666666665E-3</v>
      </c>
      <c r="S66" t="str">
        <f t="shared" ref="S66:S129" si="8">IF(L66&gt;=30000,"High","Low")</f>
        <v>High</v>
      </c>
      <c r="T66">
        <f t="shared" ref="T66:T129" si="9">MONTH(B66)</f>
        <v>11</v>
      </c>
    </row>
    <row r="67" spans="1:20">
      <c r="A67" t="s">
        <v>233</v>
      </c>
      <c r="B67" s="2">
        <v>45866</v>
      </c>
      <c r="C67" t="s">
        <v>172</v>
      </c>
      <c r="D67" t="s">
        <v>173</v>
      </c>
      <c r="E67" t="s">
        <v>56</v>
      </c>
      <c r="F67" t="s">
        <v>57</v>
      </c>
      <c r="G67" t="s">
        <v>58</v>
      </c>
      <c r="H67" t="s">
        <v>27</v>
      </c>
      <c r="I67" t="s">
        <v>46</v>
      </c>
      <c r="J67" t="s">
        <v>46</v>
      </c>
      <c r="K67">
        <v>4</v>
      </c>
      <c r="L67">
        <v>5120</v>
      </c>
      <c r="M67" s="7">
        <v>0.2</v>
      </c>
      <c r="N67">
        <v>804.36</v>
      </c>
      <c r="O67" t="s">
        <v>71</v>
      </c>
      <c r="P67">
        <f t="shared" si="5"/>
        <v>2025</v>
      </c>
      <c r="Q67" t="str">
        <f t="shared" si="6"/>
        <v>Jul</v>
      </c>
      <c r="R67" s="3">
        <f t="shared" si="7"/>
        <v>0.15710156250000001</v>
      </c>
      <c r="S67" t="str">
        <f t="shared" si="8"/>
        <v>Low</v>
      </c>
      <c r="T67">
        <f t="shared" si="9"/>
        <v>7</v>
      </c>
    </row>
    <row r="68" spans="1:20">
      <c r="A68" t="s">
        <v>234</v>
      </c>
      <c r="B68" s="2">
        <v>45666</v>
      </c>
      <c r="C68" t="s">
        <v>235</v>
      </c>
      <c r="D68" t="s">
        <v>236</v>
      </c>
      <c r="E68" t="s">
        <v>114</v>
      </c>
      <c r="F68" t="s">
        <v>57</v>
      </c>
      <c r="G68" t="s">
        <v>58</v>
      </c>
      <c r="H68" t="s">
        <v>59</v>
      </c>
      <c r="I68" t="s">
        <v>81</v>
      </c>
      <c r="J68" t="s">
        <v>82</v>
      </c>
      <c r="K68">
        <v>1</v>
      </c>
      <c r="L68">
        <v>630</v>
      </c>
      <c r="M68" s="7">
        <v>0.1</v>
      </c>
      <c r="N68">
        <v>54.83</v>
      </c>
      <c r="O68" t="s">
        <v>91</v>
      </c>
      <c r="P68">
        <f t="shared" si="5"/>
        <v>2025</v>
      </c>
      <c r="Q68" t="str">
        <f t="shared" si="6"/>
        <v>Jan</v>
      </c>
      <c r="R68" s="3">
        <f t="shared" si="7"/>
        <v>8.703174603174603E-2</v>
      </c>
      <c r="S68" t="str">
        <f t="shared" si="8"/>
        <v>Low</v>
      </c>
      <c r="T68">
        <f t="shared" si="9"/>
        <v>1</v>
      </c>
    </row>
    <row r="69" spans="1:20">
      <c r="A69" t="s">
        <v>237</v>
      </c>
      <c r="B69" s="2">
        <v>45900</v>
      </c>
      <c r="C69" t="s">
        <v>73</v>
      </c>
      <c r="D69" t="s">
        <v>74</v>
      </c>
      <c r="E69" t="s">
        <v>160</v>
      </c>
      <c r="F69" t="s">
        <v>25</v>
      </c>
      <c r="G69" t="s">
        <v>161</v>
      </c>
      <c r="H69" t="s">
        <v>27</v>
      </c>
      <c r="I69" t="s">
        <v>46</v>
      </c>
      <c r="J69" t="s">
        <v>46</v>
      </c>
      <c r="K69">
        <v>5</v>
      </c>
      <c r="L69">
        <v>12800</v>
      </c>
      <c r="M69" s="7">
        <v>0.2</v>
      </c>
      <c r="N69">
        <v>754.17</v>
      </c>
      <c r="O69" t="s">
        <v>30</v>
      </c>
      <c r="P69">
        <f t="shared" si="5"/>
        <v>2025</v>
      </c>
      <c r="Q69" t="str">
        <f t="shared" si="6"/>
        <v>Aug</v>
      </c>
      <c r="R69" s="3">
        <f t="shared" si="7"/>
        <v>5.8919531249999997E-2</v>
      </c>
      <c r="S69" t="str">
        <f t="shared" si="8"/>
        <v>Low</v>
      </c>
      <c r="T69">
        <f t="shared" si="9"/>
        <v>8</v>
      </c>
    </row>
    <row r="70" spans="1:20">
      <c r="A70" t="s">
        <v>238</v>
      </c>
      <c r="B70" s="2">
        <v>46017</v>
      </c>
      <c r="C70" t="s">
        <v>112</v>
      </c>
      <c r="D70" t="s">
        <v>113</v>
      </c>
      <c r="E70" t="s">
        <v>160</v>
      </c>
      <c r="F70" t="s">
        <v>25</v>
      </c>
      <c r="G70" t="s">
        <v>161</v>
      </c>
      <c r="H70" t="s">
        <v>36</v>
      </c>
      <c r="I70" t="s">
        <v>115</v>
      </c>
      <c r="J70" t="s">
        <v>116</v>
      </c>
      <c r="K70">
        <v>4</v>
      </c>
      <c r="L70">
        <v>11520</v>
      </c>
      <c r="M70" s="7">
        <v>0.1</v>
      </c>
      <c r="N70">
        <v>1331.26</v>
      </c>
      <c r="O70" t="s">
        <v>39</v>
      </c>
      <c r="P70">
        <f t="shared" si="5"/>
        <v>2025</v>
      </c>
      <c r="Q70" t="str">
        <f t="shared" si="6"/>
        <v>Dec</v>
      </c>
      <c r="R70" s="3">
        <f t="shared" si="7"/>
        <v>0.11556076388888889</v>
      </c>
      <c r="S70" t="str">
        <f t="shared" si="8"/>
        <v>Low</v>
      </c>
      <c r="T70">
        <f t="shared" si="9"/>
        <v>12</v>
      </c>
    </row>
    <row r="71" spans="1:20">
      <c r="A71" t="s">
        <v>239</v>
      </c>
      <c r="B71" s="2">
        <v>45932</v>
      </c>
      <c r="C71" t="s">
        <v>240</v>
      </c>
      <c r="D71" t="s">
        <v>33</v>
      </c>
      <c r="E71" t="s">
        <v>70</v>
      </c>
      <c r="F71" t="s">
        <v>25</v>
      </c>
      <c r="G71" t="s">
        <v>26</v>
      </c>
      <c r="H71" t="s">
        <v>27</v>
      </c>
      <c r="I71" t="s">
        <v>65</v>
      </c>
      <c r="J71" t="s">
        <v>66</v>
      </c>
      <c r="K71">
        <v>2</v>
      </c>
      <c r="L71">
        <v>2280</v>
      </c>
      <c r="M71" s="7">
        <v>0.05</v>
      </c>
      <c r="N71">
        <v>244.47</v>
      </c>
      <c r="O71" t="s">
        <v>30</v>
      </c>
      <c r="P71">
        <f t="shared" si="5"/>
        <v>2025</v>
      </c>
      <c r="Q71" t="str">
        <f t="shared" si="6"/>
        <v>Oct</v>
      </c>
      <c r="R71" s="3">
        <f t="shared" si="7"/>
        <v>0.10722368421052632</v>
      </c>
      <c r="S71" t="str">
        <f t="shared" si="8"/>
        <v>Low</v>
      </c>
      <c r="T71">
        <f t="shared" si="9"/>
        <v>10</v>
      </c>
    </row>
    <row r="72" spans="1:20">
      <c r="A72" t="s">
        <v>241</v>
      </c>
      <c r="B72" s="2">
        <v>45802</v>
      </c>
      <c r="C72" t="s">
        <v>242</v>
      </c>
      <c r="D72" t="s">
        <v>23</v>
      </c>
      <c r="E72" t="s">
        <v>75</v>
      </c>
      <c r="F72" t="s">
        <v>76</v>
      </c>
      <c r="G72" t="s">
        <v>77</v>
      </c>
      <c r="H72" t="s">
        <v>36</v>
      </c>
      <c r="I72" t="s">
        <v>37</v>
      </c>
      <c r="J72" t="s">
        <v>38</v>
      </c>
      <c r="K72">
        <v>1</v>
      </c>
      <c r="L72">
        <v>126</v>
      </c>
      <c r="M72" s="7">
        <v>0.3</v>
      </c>
      <c r="N72">
        <v>5.26</v>
      </c>
      <c r="O72" t="s">
        <v>39</v>
      </c>
      <c r="P72">
        <f t="shared" si="5"/>
        <v>2025</v>
      </c>
      <c r="Q72" t="str">
        <f t="shared" si="6"/>
        <v>May</v>
      </c>
      <c r="R72" s="3">
        <f t="shared" si="7"/>
        <v>4.1746031746031746E-2</v>
      </c>
      <c r="S72" t="str">
        <f t="shared" si="8"/>
        <v>Low</v>
      </c>
      <c r="T72">
        <f t="shared" si="9"/>
        <v>5</v>
      </c>
    </row>
    <row r="73" spans="1:20">
      <c r="A73" t="s">
        <v>243</v>
      </c>
      <c r="B73" s="2">
        <v>46020</v>
      </c>
      <c r="C73" t="s">
        <v>98</v>
      </c>
      <c r="D73" t="s">
        <v>99</v>
      </c>
      <c r="E73" t="s">
        <v>34</v>
      </c>
      <c r="F73" t="s">
        <v>25</v>
      </c>
      <c r="G73" t="s">
        <v>35</v>
      </c>
      <c r="H73" t="s">
        <v>36</v>
      </c>
      <c r="I73" t="s">
        <v>89</v>
      </c>
      <c r="J73" t="s">
        <v>90</v>
      </c>
      <c r="K73">
        <v>5</v>
      </c>
      <c r="L73">
        <v>261250</v>
      </c>
      <c r="M73" s="7">
        <v>0.05</v>
      </c>
      <c r="N73">
        <v>29438.58</v>
      </c>
      <c r="O73" t="s">
        <v>30</v>
      </c>
      <c r="P73">
        <f t="shared" si="5"/>
        <v>2025</v>
      </c>
      <c r="Q73" t="str">
        <f t="shared" si="6"/>
        <v>Dec</v>
      </c>
      <c r="R73" s="3">
        <f t="shared" si="7"/>
        <v>0.11268355980861244</v>
      </c>
      <c r="S73" t="str">
        <f t="shared" si="8"/>
        <v>High</v>
      </c>
      <c r="T73">
        <f t="shared" si="9"/>
        <v>12</v>
      </c>
    </row>
    <row r="74" spans="1:20">
      <c r="A74" t="s">
        <v>244</v>
      </c>
      <c r="B74" s="2">
        <v>45722</v>
      </c>
      <c r="C74" t="s">
        <v>245</v>
      </c>
      <c r="D74" t="s">
        <v>52</v>
      </c>
      <c r="E74" t="s">
        <v>56</v>
      </c>
      <c r="F74" t="s">
        <v>57</v>
      </c>
      <c r="G74" t="s">
        <v>58</v>
      </c>
      <c r="H74" t="s">
        <v>36</v>
      </c>
      <c r="I74" t="s">
        <v>37</v>
      </c>
      <c r="J74" t="s">
        <v>38</v>
      </c>
      <c r="K74">
        <v>4</v>
      </c>
      <c r="L74">
        <v>6400</v>
      </c>
      <c r="M74" s="7">
        <v>0</v>
      </c>
      <c r="N74">
        <v>1629.08</v>
      </c>
      <c r="O74" t="s">
        <v>71</v>
      </c>
      <c r="P74">
        <f t="shared" si="5"/>
        <v>2025</v>
      </c>
      <c r="Q74" t="str">
        <f t="shared" si="6"/>
        <v>Mar</v>
      </c>
      <c r="R74" s="3">
        <f t="shared" si="7"/>
        <v>0.25454375000000001</v>
      </c>
      <c r="S74" t="str">
        <f t="shared" si="8"/>
        <v>Low</v>
      </c>
      <c r="T74">
        <f t="shared" si="9"/>
        <v>3</v>
      </c>
    </row>
    <row r="75" spans="1:20">
      <c r="A75" t="s">
        <v>246</v>
      </c>
      <c r="B75" s="2">
        <v>45832</v>
      </c>
      <c r="C75" t="s">
        <v>247</v>
      </c>
      <c r="D75" t="s">
        <v>169</v>
      </c>
      <c r="E75" t="s">
        <v>87</v>
      </c>
      <c r="F75" t="s">
        <v>44</v>
      </c>
      <c r="G75" t="s">
        <v>88</v>
      </c>
      <c r="H75" t="s">
        <v>127</v>
      </c>
      <c r="I75" t="s">
        <v>128</v>
      </c>
      <c r="J75" t="s">
        <v>129</v>
      </c>
      <c r="K75">
        <v>2</v>
      </c>
      <c r="L75">
        <v>24000</v>
      </c>
      <c r="M75" s="7">
        <v>0</v>
      </c>
      <c r="N75">
        <v>3131.9</v>
      </c>
      <c r="O75" t="s">
        <v>83</v>
      </c>
      <c r="P75">
        <f t="shared" si="5"/>
        <v>2025</v>
      </c>
      <c r="Q75" t="str">
        <f t="shared" si="6"/>
        <v>Jun</v>
      </c>
      <c r="R75" s="3">
        <f t="shared" si="7"/>
        <v>0.13049583333333334</v>
      </c>
      <c r="S75" t="str">
        <f t="shared" si="8"/>
        <v>Low</v>
      </c>
      <c r="T75">
        <f t="shared" si="9"/>
        <v>6</v>
      </c>
    </row>
    <row r="76" spans="1:20">
      <c r="A76" t="s">
        <v>248</v>
      </c>
      <c r="B76" s="2">
        <v>45909</v>
      </c>
      <c r="C76" t="s">
        <v>249</v>
      </c>
      <c r="D76" t="s">
        <v>250</v>
      </c>
      <c r="E76" t="s">
        <v>43</v>
      </c>
      <c r="F76" t="s">
        <v>44</v>
      </c>
      <c r="G76" t="s">
        <v>45</v>
      </c>
      <c r="H76" t="s">
        <v>59</v>
      </c>
      <c r="I76" t="s">
        <v>96</v>
      </c>
      <c r="J76" t="s">
        <v>61</v>
      </c>
      <c r="K76">
        <v>1</v>
      </c>
      <c r="L76">
        <v>6800</v>
      </c>
      <c r="M76" s="7">
        <v>0.2</v>
      </c>
      <c r="N76">
        <v>1109.82</v>
      </c>
      <c r="O76" t="s">
        <v>39</v>
      </c>
      <c r="P76">
        <f t="shared" si="5"/>
        <v>2025</v>
      </c>
      <c r="Q76" t="str">
        <f t="shared" si="6"/>
        <v>Sep</v>
      </c>
      <c r="R76" s="3">
        <f t="shared" si="7"/>
        <v>0.16320882352941177</v>
      </c>
      <c r="S76" t="str">
        <f t="shared" si="8"/>
        <v>Low</v>
      </c>
      <c r="T76">
        <f t="shared" si="9"/>
        <v>9</v>
      </c>
    </row>
    <row r="77" spans="1:20">
      <c r="A77" t="s">
        <v>251</v>
      </c>
      <c r="B77" s="2">
        <v>45701</v>
      </c>
      <c r="C77" t="s">
        <v>211</v>
      </c>
      <c r="D77" t="s">
        <v>212</v>
      </c>
      <c r="E77" t="s">
        <v>103</v>
      </c>
      <c r="F77" t="s">
        <v>25</v>
      </c>
      <c r="G77" t="s">
        <v>104</v>
      </c>
      <c r="H77" t="s">
        <v>127</v>
      </c>
      <c r="I77" t="s">
        <v>128</v>
      </c>
      <c r="J77" t="s">
        <v>129</v>
      </c>
      <c r="K77">
        <v>2</v>
      </c>
      <c r="L77">
        <v>56000</v>
      </c>
      <c r="M77" s="7">
        <v>0</v>
      </c>
      <c r="N77">
        <v>10730.42</v>
      </c>
      <c r="O77" t="s">
        <v>30</v>
      </c>
      <c r="P77">
        <f t="shared" si="5"/>
        <v>2025</v>
      </c>
      <c r="Q77" t="str">
        <f t="shared" si="6"/>
        <v>Feb</v>
      </c>
      <c r="R77" s="3">
        <f t="shared" si="7"/>
        <v>0.19161464285714286</v>
      </c>
      <c r="S77" t="str">
        <f t="shared" si="8"/>
        <v>High</v>
      </c>
      <c r="T77">
        <f t="shared" si="9"/>
        <v>2</v>
      </c>
    </row>
    <row r="78" spans="1:20">
      <c r="A78" t="s">
        <v>252</v>
      </c>
      <c r="B78" s="2">
        <v>45925</v>
      </c>
      <c r="C78" t="s">
        <v>131</v>
      </c>
      <c r="D78" t="s">
        <v>132</v>
      </c>
      <c r="E78" t="s">
        <v>126</v>
      </c>
      <c r="F78" t="s">
        <v>25</v>
      </c>
      <c r="G78" t="s">
        <v>35</v>
      </c>
      <c r="H78" t="s">
        <v>36</v>
      </c>
      <c r="I78" t="s">
        <v>89</v>
      </c>
      <c r="J78" t="s">
        <v>90</v>
      </c>
      <c r="K78">
        <v>4</v>
      </c>
      <c r="L78">
        <v>49300</v>
      </c>
      <c r="M78" s="7">
        <v>0.15</v>
      </c>
      <c r="N78">
        <v>10873.12</v>
      </c>
      <c r="O78" t="s">
        <v>30</v>
      </c>
      <c r="P78">
        <f t="shared" si="5"/>
        <v>2025</v>
      </c>
      <c r="Q78" t="str">
        <f t="shared" si="6"/>
        <v>Sep</v>
      </c>
      <c r="R78" s="3">
        <f t="shared" si="7"/>
        <v>0.22055010141987832</v>
      </c>
      <c r="S78" t="str">
        <f t="shared" si="8"/>
        <v>High</v>
      </c>
      <c r="T78">
        <f t="shared" si="9"/>
        <v>9</v>
      </c>
    </row>
    <row r="79" spans="1:20">
      <c r="A79" t="s">
        <v>253</v>
      </c>
      <c r="B79" s="2">
        <v>45949</v>
      </c>
      <c r="C79" t="s">
        <v>22</v>
      </c>
      <c r="D79" t="s">
        <v>23</v>
      </c>
      <c r="E79" t="s">
        <v>103</v>
      </c>
      <c r="F79" t="s">
        <v>25</v>
      </c>
      <c r="G79" t="s">
        <v>104</v>
      </c>
      <c r="H79" t="s">
        <v>27</v>
      </c>
      <c r="I79" t="s">
        <v>28</v>
      </c>
      <c r="J79" t="s">
        <v>29</v>
      </c>
      <c r="K79">
        <v>5</v>
      </c>
      <c r="L79">
        <v>140000</v>
      </c>
      <c r="M79" s="7">
        <v>0</v>
      </c>
      <c r="N79">
        <v>28269.67</v>
      </c>
      <c r="O79" t="s">
        <v>39</v>
      </c>
      <c r="P79">
        <f t="shared" si="5"/>
        <v>2025</v>
      </c>
      <c r="Q79" t="str">
        <f t="shared" si="6"/>
        <v>Oct</v>
      </c>
      <c r="R79" s="3">
        <f t="shared" si="7"/>
        <v>0.20192621428571428</v>
      </c>
      <c r="S79" t="str">
        <f t="shared" si="8"/>
        <v>High</v>
      </c>
      <c r="T79">
        <f t="shared" si="9"/>
        <v>10</v>
      </c>
    </row>
    <row r="80" spans="1:20">
      <c r="A80" t="s">
        <v>254</v>
      </c>
      <c r="B80" s="2">
        <v>45996</v>
      </c>
      <c r="C80" t="s">
        <v>189</v>
      </c>
      <c r="D80" t="s">
        <v>190</v>
      </c>
      <c r="E80" t="s">
        <v>103</v>
      </c>
      <c r="F80" t="s">
        <v>25</v>
      </c>
      <c r="G80" t="s">
        <v>104</v>
      </c>
      <c r="H80" t="s">
        <v>36</v>
      </c>
      <c r="I80" t="s">
        <v>115</v>
      </c>
      <c r="J80" t="s">
        <v>116</v>
      </c>
      <c r="K80">
        <v>1</v>
      </c>
      <c r="L80">
        <v>26600</v>
      </c>
      <c r="M80" s="7">
        <v>0.05</v>
      </c>
      <c r="N80">
        <v>2954.55</v>
      </c>
      <c r="O80" t="s">
        <v>39</v>
      </c>
      <c r="P80">
        <f t="shared" si="5"/>
        <v>2025</v>
      </c>
      <c r="Q80" t="str">
        <f t="shared" si="6"/>
        <v>Dec</v>
      </c>
      <c r="R80" s="3">
        <f t="shared" si="7"/>
        <v>0.1110733082706767</v>
      </c>
      <c r="S80" t="str">
        <f t="shared" si="8"/>
        <v>Low</v>
      </c>
      <c r="T80">
        <f t="shared" si="9"/>
        <v>12</v>
      </c>
    </row>
    <row r="81" spans="1:20">
      <c r="A81" t="s">
        <v>255</v>
      </c>
      <c r="B81" s="2">
        <v>45888</v>
      </c>
      <c r="C81" t="s">
        <v>195</v>
      </c>
      <c r="D81" t="s">
        <v>196</v>
      </c>
      <c r="E81" t="s">
        <v>43</v>
      </c>
      <c r="F81" t="s">
        <v>44</v>
      </c>
      <c r="G81" t="s">
        <v>45</v>
      </c>
      <c r="H81" t="s">
        <v>59</v>
      </c>
      <c r="I81" t="s">
        <v>96</v>
      </c>
      <c r="J81" t="s">
        <v>61</v>
      </c>
      <c r="K81">
        <v>5</v>
      </c>
      <c r="L81">
        <v>36125</v>
      </c>
      <c r="M81" s="7">
        <v>0.15</v>
      </c>
      <c r="N81">
        <v>3597.02</v>
      </c>
      <c r="O81" t="s">
        <v>91</v>
      </c>
      <c r="P81">
        <f t="shared" si="5"/>
        <v>2025</v>
      </c>
      <c r="Q81" t="str">
        <f t="shared" si="6"/>
        <v>Aug</v>
      </c>
      <c r="R81" s="3">
        <f t="shared" si="7"/>
        <v>9.957148788927335E-2</v>
      </c>
      <c r="S81" t="str">
        <f t="shared" si="8"/>
        <v>High</v>
      </c>
      <c r="T81">
        <f t="shared" si="9"/>
        <v>8</v>
      </c>
    </row>
    <row r="82" spans="1:20">
      <c r="A82" t="s">
        <v>256</v>
      </c>
      <c r="B82" s="2">
        <v>46009</v>
      </c>
      <c r="C82" t="s">
        <v>181</v>
      </c>
      <c r="D82" t="s">
        <v>182</v>
      </c>
      <c r="E82" t="s">
        <v>70</v>
      </c>
      <c r="F82" t="s">
        <v>25</v>
      </c>
      <c r="G82" t="s">
        <v>26</v>
      </c>
      <c r="H82" t="s">
        <v>59</v>
      </c>
      <c r="I82" t="s">
        <v>81</v>
      </c>
      <c r="J82" t="s">
        <v>82</v>
      </c>
      <c r="K82">
        <v>2</v>
      </c>
      <c r="L82">
        <v>2160</v>
      </c>
      <c r="M82" s="7">
        <v>0.1</v>
      </c>
      <c r="N82">
        <v>436.19</v>
      </c>
      <c r="O82" t="s">
        <v>39</v>
      </c>
      <c r="P82">
        <f t="shared" si="5"/>
        <v>2025</v>
      </c>
      <c r="Q82" t="str">
        <f t="shared" si="6"/>
        <v>Dec</v>
      </c>
      <c r="R82" s="3">
        <f t="shared" si="7"/>
        <v>0.20193981481481482</v>
      </c>
      <c r="S82" t="str">
        <f t="shared" si="8"/>
        <v>Low</v>
      </c>
      <c r="T82">
        <f t="shared" si="9"/>
        <v>12</v>
      </c>
    </row>
    <row r="83" spans="1:20">
      <c r="A83" t="s">
        <v>257</v>
      </c>
      <c r="B83" s="2">
        <v>45936</v>
      </c>
      <c r="C83" t="s">
        <v>22</v>
      </c>
      <c r="D83" t="s">
        <v>23</v>
      </c>
      <c r="E83" t="s">
        <v>70</v>
      </c>
      <c r="F83" t="s">
        <v>25</v>
      </c>
      <c r="G83" t="s">
        <v>26</v>
      </c>
      <c r="H83" t="s">
        <v>27</v>
      </c>
      <c r="I83" t="s">
        <v>28</v>
      </c>
      <c r="J83" t="s">
        <v>29</v>
      </c>
      <c r="K83">
        <v>2</v>
      </c>
      <c r="L83">
        <v>1800</v>
      </c>
      <c r="M83" s="7">
        <v>0.25</v>
      </c>
      <c r="N83">
        <v>77.75</v>
      </c>
      <c r="O83" t="s">
        <v>39</v>
      </c>
      <c r="P83">
        <f t="shared" si="5"/>
        <v>2025</v>
      </c>
      <c r="Q83" t="str">
        <f t="shared" si="6"/>
        <v>Oct</v>
      </c>
      <c r="R83" s="3">
        <f t="shared" si="7"/>
        <v>4.3194444444444445E-2</v>
      </c>
      <c r="S83" t="str">
        <f t="shared" si="8"/>
        <v>Low</v>
      </c>
      <c r="T83">
        <f t="shared" si="9"/>
        <v>10</v>
      </c>
    </row>
    <row r="84" spans="1:20">
      <c r="A84" t="s">
        <v>258</v>
      </c>
      <c r="B84" s="2">
        <v>45742</v>
      </c>
      <c r="C84" t="s">
        <v>259</v>
      </c>
      <c r="D84" t="s">
        <v>260</v>
      </c>
      <c r="E84" t="s">
        <v>34</v>
      </c>
      <c r="F84" t="s">
        <v>25</v>
      </c>
      <c r="G84" t="s">
        <v>35</v>
      </c>
      <c r="H84" t="s">
        <v>27</v>
      </c>
      <c r="I84" t="s">
        <v>65</v>
      </c>
      <c r="J84" t="s">
        <v>66</v>
      </c>
      <c r="K84">
        <v>3</v>
      </c>
      <c r="L84">
        <v>132000</v>
      </c>
      <c r="M84" s="7">
        <v>0.2</v>
      </c>
      <c r="N84">
        <v>21295.72</v>
      </c>
      <c r="O84" t="s">
        <v>91</v>
      </c>
      <c r="P84">
        <f t="shared" si="5"/>
        <v>2025</v>
      </c>
      <c r="Q84" t="str">
        <f t="shared" si="6"/>
        <v>Mar</v>
      </c>
      <c r="R84" s="3">
        <f t="shared" si="7"/>
        <v>0.16133121212121213</v>
      </c>
      <c r="S84" t="str">
        <f t="shared" si="8"/>
        <v>High</v>
      </c>
      <c r="T84">
        <f t="shared" si="9"/>
        <v>3</v>
      </c>
    </row>
    <row r="85" spans="1:20">
      <c r="A85" t="s">
        <v>261</v>
      </c>
      <c r="B85" s="2">
        <v>45897</v>
      </c>
      <c r="C85" t="s">
        <v>262</v>
      </c>
      <c r="D85" t="s">
        <v>94</v>
      </c>
      <c r="E85" t="s">
        <v>70</v>
      </c>
      <c r="F85" t="s">
        <v>25</v>
      </c>
      <c r="G85" t="s">
        <v>26</v>
      </c>
      <c r="H85" t="s">
        <v>36</v>
      </c>
      <c r="I85" t="s">
        <v>89</v>
      </c>
      <c r="J85" t="s">
        <v>90</v>
      </c>
      <c r="K85">
        <v>3</v>
      </c>
      <c r="L85">
        <v>2700</v>
      </c>
      <c r="M85" s="7">
        <v>0.25</v>
      </c>
      <c r="N85">
        <v>252.41</v>
      </c>
      <c r="O85" t="s">
        <v>30</v>
      </c>
      <c r="P85">
        <f t="shared" si="5"/>
        <v>2025</v>
      </c>
      <c r="Q85" t="str">
        <f t="shared" si="6"/>
        <v>Aug</v>
      </c>
      <c r="R85" s="3">
        <f t="shared" si="7"/>
        <v>9.3485185185185185E-2</v>
      </c>
      <c r="S85" t="str">
        <f t="shared" si="8"/>
        <v>Low</v>
      </c>
      <c r="T85">
        <f t="shared" si="9"/>
        <v>8</v>
      </c>
    </row>
    <row r="86" spans="1:20">
      <c r="A86" t="s">
        <v>263</v>
      </c>
      <c r="B86" s="2">
        <v>45699</v>
      </c>
      <c r="C86" t="s">
        <v>178</v>
      </c>
      <c r="D86" t="s">
        <v>86</v>
      </c>
      <c r="E86" t="s">
        <v>87</v>
      </c>
      <c r="F86" t="s">
        <v>44</v>
      </c>
      <c r="G86" t="s">
        <v>88</v>
      </c>
      <c r="H86" t="s">
        <v>36</v>
      </c>
      <c r="I86" t="s">
        <v>37</v>
      </c>
      <c r="J86" t="s">
        <v>38</v>
      </c>
      <c r="K86">
        <v>5</v>
      </c>
      <c r="L86">
        <v>60000</v>
      </c>
      <c r="M86" s="7">
        <v>0</v>
      </c>
      <c r="N86">
        <v>15473.07</v>
      </c>
      <c r="O86" t="s">
        <v>30</v>
      </c>
      <c r="P86">
        <f t="shared" si="5"/>
        <v>2025</v>
      </c>
      <c r="Q86" t="str">
        <f t="shared" si="6"/>
        <v>Feb</v>
      </c>
      <c r="R86" s="3">
        <f t="shared" si="7"/>
        <v>0.25788450000000002</v>
      </c>
      <c r="S86" t="str">
        <f t="shared" si="8"/>
        <v>High</v>
      </c>
      <c r="T86">
        <f t="shared" si="9"/>
        <v>2</v>
      </c>
    </row>
    <row r="87" spans="1:20">
      <c r="A87" t="s">
        <v>264</v>
      </c>
      <c r="B87" s="2">
        <v>45704</v>
      </c>
      <c r="C87" t="s">
        <v>109</v>
      </c>
      <c r="D87" t="s">
        <v>110</v>
      </c>
      <c r="E87" t="s">
        <v>34</v>
      </c>
      <c r="F87" t="s">
        <v>25</v>
      </c>
      <c r="G87" t="s">
        <v>35</v>
      </c>
      <c r="H87" t="s">
        <v>59</v>
      </c>
      <c r="I87" t="s">
        <v>96</v>
      </c>
      <c r="J87" t="s">
        <v>61</v>
      </c>
      <c r="K87">
        <v>2</v>
      </c>
      <c r="L87">
        <v>82500</v>
      </c>
      <c r="M87" s="7">
        <v>0.25</v>
      </c>
      <c r="N87">
        <v>13302.45</v>
      </c>
      <c r="O87" t="s">
        <v>83</v>
      </c>
      <c r="P87">
        <f t="shared" si="5"/>
        <v>2025</v>
      </c>
      <c r="Q87" t="str">
        <f t="shared" si="6"/>
        <v>Feb</v>
      </c>
      <c r="R87" s="3">
        <f t="shared" si="7"/>
        <v>0.16124181818181818</v>
      </c>
      <c r="S87" t="str">
        <f t="shared" si="8"/>
        <v>High</v>
      </c>
      <c r="T87">
        <f t="shared" si="9"/>
        <v>2</v>
      </c>
    </row>
    <row r="88" spans="1:20">
      <c r="A88" t="s">
        <v>265</v>
      </c>
      <c r="B88" s="2">
        <v>45678</v>
      </c>
      <c r="C88" t="s">
        <v>137</v>
      </c>
      <c r="D88" t="s">
        <v>138</v>
      </c>
      <c r="E88" t="s">
        <v>75</v>
      </c>
      <c r="F88" t="s">
        <v>76</v>
      </c>
      <c r="G88" t="s">
        <v>77</v>
      </c>
      <c r="H88" t="s">
        <v>27</v>
      </c>
      <c r="I88" t="s">
        <v>28</v>
      </c>
      <c r="J88" t="s">
        <v>29</v>
      </c>
      <c r="K88">
        <v>2</v>
      </c>
      <c r="L88">
        <v>306</v>
      </c>
      <c r="M88" s="7">
        <v>0.15</v>
      </c>
      <c r="N88">
        <v>41.99</v>
      </c>
      <c r="O88" t="s">
        <v>91</v>
      </c>
      <c r="P88">
        <f t="shared" si="5"/>
        <v>2025</v>
      </c>
      <c r="Q88" t="str">
        <f t="shared" si="6"/>
        <v>Jan</v>
      </c>
      <c r="R88" s="3">
        <f t="shared" si="7"/>
        <v>0.13722222222222222</v>
      </c>
      <c r="S88" t="str">
        <f t="shared" si="8"/>
        <v>Low</v>
      </c>
      <c r="T88">
        <f t="shared" si="9"/>
        <v>1</v>
      </c>
    </row>
    <row r="89" spans="1:20">
      <c r="A89" t="s">
        <v>266</v>
      </c>
      <c r="B89" s="2">
        <v>45881</v>
      </c>
      <c r="C89" t="s">
        <v>267</v>
      </c>
      <c r="D89" t="s">
        <v>268</v>
      </c>
      <c r="E89" t="s">
        <v>75</v>
      </c>
      <c r="F89" t="s">
        <v>76</v>
      </c>
      <c r="G89" t="s">
        <v>77</v>
      </c>
      <c r="H89" t="s">
        <v>36</v>
      </c>
      <c r="I89" t="s">
        <v>37</v>
      </c>
      <c r="J89" t="s">
        <v>38</v>
      </c>
      <c r="K89">
        <v>4</v>
      </c>
      <c r="L89">
        <v>720</v>
      </c>
      <c r="M89" s="7">
        <v>0</v>
      </c>
      <c r="N89">
        <v>125.28</v>
      </c>
      <c r="O89" t="s">
        <v>91</v>
      </c>
      <c r="P89">
        <f t="shared" si="5"/>
        <v>2025</v>
      </c>
      <c r="Q89" t="str">
        <f t="shared" si="6"/>
        <v>Aug</v>
      </c>
      <c r="R89" s="3">
        <f t="shared" si="7"/>
        <v>0.17399999999999999</v>
      </c>
      <c r="S89" t="str">
        <f t="shared" si="8"/>
        <v>Low</v>
      </c>
      <c r="T89">
        <f t="shared" si="9"/>
        <v>8</v>
      </c>
    </row>
    <row r="90" spans="1:20">
      <c r="A90" t="s">
        <v>269</v>
      </c>
      <c r="B90" s="2">
        <v>45740</v>
      </c>
      <c r="C90" t="s">
        <v>270</v>
      </c>
      <c r="D90" t="s">
        <v>271</v>
      </c>
      <c r="E90" t="s">
        <v>142</v>
      </c>
      <c r="F90" t="s">
        <v>25</v>
      </c>
      <c r="G90" t="s">
        <v>143</v>
      </c>
      <c r="H90" t="s">
        <v>27</v>
      </c>
      <c r="I90" t="s">
        <v>28</v>
      </c>
      <c r="J90" t="s">
        <v>29</v>
      </c>
      <c r="K90">
        <v>3</v>
      </c>
      <c r="L90">
        <v>29325</v>
      </c>
      <c r="M90" s="7">
        <v>0.15</v>
      </c>
      <c r="N90">
        <v>5217.7</v>
      </c>
      <c r="O90" t="s">
        <v>71</v>
      </c>
      <c r="P90">
        <f t="shared" si="5"/>
        <v>2025</v>
      </c>
      <c r="Q90" t="str">
        <f t="shared" si="6"/>
        <v>Mar</v>
      </c>
      <c r="R90" s="3">
        <f t="shared" si="7"/>
        <v>0.17792668371696505</v>
      </c>
      <c r="S90" t="str">
        <f t="shared" si="8"/>
        <v>Low</v>
      </c>
      <c r="T90">
        <f t="shared" si="9"/>
        <v>3</v>
      </c>
    </row>
    <row r="91" spans="1:20">
      <c r="A91" t="s">
        <v>272</v>
      </c>
      <c r="B91" s="2">
        <v>45890</v>
      </c>
      <c r="C91" t="s">
        <v>273</v>
      </c>
      <c r="D91" t="s">
        <v>212</v>
      </c>
      <c r="E91" t="s">
        <v>34</v>
      </c>
      <c r="F91" t="s">
        <v>25</v>
      </c>
      <c r="G91" t="s">
        <v>35</v>
      </c>
      <c r="H91" t="s">
        <v>59</v>
      </c>
      <c r="I91" t="s">
        <v>81</v>
      </c>
      <c r="J91" t="s">
        <v>82</v>
      </c>
      <c r="K91">
        <v>1</v>
      </c>
      <c r="L91">
        <v>49500</v>
      </c>
      <c r="M91" s="7">
        <v>0.1</v>
      </c>
      <c r="N91">
        <v>5325.3</v>
      </c>
      <c r="O91" t="s">
        <v>71</v>
      </c>
      <c r="P91">
        <f t="shared" si="5"/>
        <v>2025</v>
      </c>
      <c r="Q91" t="str">
        <f t="shared" si="6"/>
        <v>Aug</v>
      </c>
      <c r="R91" s="3">
        <f t="shared" si="7"/>
        <v>0.10758181818181818</v>
      </c>
      <c r="S91" t="str">
        <f t="shared" si="8"/>
        <v>High</v>
      </c>
      <c r="T91">
        <f t="shared" si="9"/>
        <v>8</v>
      </c>
    </row>
    <row r="92" spans="1:20">
      <c r="A92" t="s">
        <v>274</v>
      </c>
      <c r="B92" s="2">
        <v>45658</v>
      </c>
      <c r="C92" t="s">
        <v>275</v>
      </c>
      <c r="D92" t="s">
        <v>176</v>
      </c>
      <c r="E92" t="s">
        <v>142</v>
      </c>
      <c r="F92" t="s">
        <v>25</v>
      </c>
      <c r="G92" t="s">
        <v>143</v>
      </c>
      <c r="H92" t="s">
        <v>27</v>
      </c>
      <c r="I92" t="s">
        <v>28</v>
      </c>
      <c r="J92" t="s">
        <v>29</v>
      </c>
      <c r="K92">
        <v>5</v>
      </c>
      <c r="L92">
        <v>48875</v>
      </c>
      <c r="M92" s="7">
        <v>0.15</v>
      </c>
      <c r="N92">
        <v>6139.44</v>
      </c>
      <c r="O92" t="s">
        <v>91</v>
      </c>
      <c r="P92">
        <f t="shared" si="5"/>
        <v>2025</v>
      </c>
      <c r="Q92" t="str">
        <f t="shared" si="6"/>
        <v>Jan</v>
      </c>
      <c r="R92" s="3">
        <f t="shared" si="7"/>
        <v>0.12561514066496163</v>
      </c>
      <c r="S92" t="str">
        <f t="shared" si="8"/>
        <v>High</v>
      </c>
      <c r="T92">
        <f t="shared" si="9"/>
        <v>1</v>
      </c>
    </row>
    <row r="93" spans="1:20">
      <c r="A93" t="s">
        <v>276</v>
      </c>
      <c r="B93" s="2">
        <v>45913</v>
      </c>
      <c r="C93" t="s">
        <v>131</v>
      </c>
      <c r="D93" t="s">
        <v>132</v>
      </c>
      <c r="E93" t="s">
        <v>114</v>
      </c>
      <c r="F93" t="s">
        <v>57</v>
      </c>
      <c r="G93" t="s">
        <v>58</v>
      </c>
      <c r="H93" t="s">
        <v>36</v>
      </c>
      <c r="I93" t="s">
        <v>89</v>
      </c>
      <c r="J93" t="s">
        <v>90</v>
      </c>
      <c r="K93">
        <v>4</v>
      </c>
      <c r="L93">
        <v>1960</v>
      </c>
      <c r="M93" s="7">
        <v>0.3</v>
      </c>
      <c r="N93">
        <v>20.170000000000002</v>
      </c>
      <c r="O93" t="s">
        <v>39</v>
      </c>
      <c r="P93">
        <f t="shared" si="5"/>
        <v>2025</v>
      </c>
      <c r="Q93" t="str">
        <f t="shared" si="6"/>
        <v>Sep</v>
      </c>
      <c r="R93" s="3">
        <f t="shared" si="7"/>
        <v>1.0290816326530613E-2</v>
      </c>
      <c r="S93" t="str">
        <f t="shared" si="8"/>
        <v>Low</v>
      </c>
      <c r="T93">
        <f t="shared" si="9"/>
        <v>9</v>
      </c>
    </row>
    <row r="94" spans="1:20">
      <c r="A94" t="s">
        <v>277</v>
      </c>
      <c r="B94" s="2">
        <v>46015</v>
      </c>
      <c r="C94" t="s">
        <v>278</v>
      </c>
      <c r="D94" t="s">
        <v>279</v>
      </c>
      <c r="E94" t="s">
        <v>87</v>
      </c>
      <c r="F94" t="s">
        <v>44</v>
      </c>
      <c r="G94" t="s">
        <v>88</v>
      </c>
      <c r="H94" t="s">
        <v>36</v>
      </c>
      <c r="I94" t="s">
        <v>89</v>
      </c>
      <c r="J94" t="s">
        <v>90</v>
      </c>
      <c r="K94">
        <v>4</v>
      </c>
      <c r="L94">
        <v>48000</v>
      </c>
      <c r="M94" s="7">
        <v>0</v>
      </c>
      <c r="N94">
        <v>4117.1499999999996</v>
      </c>
      <c r="O94" t="s">
        <v>39</v>
      </c>
      <c r="P94">
        <f t="shared" si="5"/>
        <v>2025</v>
      </c>
      <c r="Q94" t="str">
        <f t="shared" si="6"/>
        <v>Dec</v>
      </c>
      <c r="R94" s="3">
        <f t="shared" si="7"/>
        <v>8.5773958333333331E-2</v>
      </c>
      <c r="S94" t="str">
        <f t="shared" si="8"/>
        <v>High</v>
      </c>
      <c r="T94">
        <f t="shared" si="9"/>
        <v>12</v>
      </c>
    </row>
    <row r="95" spans="1:20">
      <c r="A95" t="s">
        <v>280</v>
      </c>
      <c r="B95" s="2">
        <v>45940</v>
      </c>
      <c r="C95" t="s">
        <v>63</v>
      </c>
      <c r="D95" t="s">
        <v>64</v>
      </c>
      <c r="E95" t="s">
        <v>103</v>
      </c>
      <c r="F95" t="s">
        <v>25</v>
      </c>
      <c r="G95" t="s">
        <v>104</v>
      </c>
      <c r="H95" t="s">
        <v>27</v>
      </c>
      <c r="I95" t="s">
        <v>65</v>
      </c>
      <c r="J95" t="s">
        <v>66</v>
      </c>
      <c r="K95">
        <v>1</v>
      </c>
      <c r="L95">
        <v>22400</v>
      </c>
      <c r="M95" s="7">
        <v>0.2</v>
      </c>
      <c r="N95">
        <v>2472.13</v>
      </c>
      <c r="O95" t="s">
        <v>83</v>
      </c>
      <c r="P95">
        <f t="shared" si="5"/>
        <v>2025</v>
      </c>
      <c r="Q95" t="str">
        <f t="shared" si="6"/>
        <v>Oct</v>
      </c>
      <c r="R95" s="3">
        <f t="shared" si="7"/>
        <v>0.11036294642857143</v>
      </c>
      <c r="S95" t="str">
        <f t="shared" si="8"/>
        <v>Low</v>
      </c>
      <c r="T95">
        <f t="shared" si="9"/>
        <v>10</v>
      </c>
    </row>
    <row r="96" spans="1:20">
      <c r="A96" t="s">
        <v>281</v>
      </c>
      <c r="B96" s="2">
        <v>45989</v>
      </c>
      <c r="C96" t="s">
        <v>224</v>
      </c>
      <c r="D96" t="s">
        <v>225</v>
      </c>
      <c r="E96" t="s">
        <v>70</v>
      </c>
      <c r="F96" t="s">
        <v>25</v>
      </c>
      <c r="G96" t="s">
        <v>26</v>
      </c>
      <c r="H96" t="s">
        <v>59</v>
      </c>
      <c r="I96" t="s">
        <v>60</v>
      </c>
      <c r="J96" t="s">
        <v>61</v>
      </c>
      <c r="K96">
        <v>2</v>
      </c>
      <c r="L96">
        <v>2040</v>
      </c>
      <c r="M96" s="7">
        <v>0.15</v>
      </c>
      <c r="N96">
        <v>460.2</v>
      </c>
      <c r="O96" t="s">
        <v>91</v>
      </c>
      <c r="P96">
        <f t="shared" si="5"/>
        <v>2025</v>
      </c>
      <c r="Q96" t="str">
        <f t="shared" si="6"/>
        <v>Nov</v>
      </c>
      <c r="R96" s="3">
        <f t="shared" si="7"/>
        <v>0.22558823529411764</v>
      </c>
      <c r="S96" t="str">
        <f t="shared" si="8"/>
        <v>Low</v>
      </c>
      <c r="T96">
        <f t="shared" si="9"/>
        <v>11</v>
      </c>
    </row>
    <row r="97" spans="1:20">
      <c r="A97" t="s">
        <v>282</v>
      </c>
      <c r="B97" s="2">
        <v>45905</v>
      </c>
      <c r="C97" t="s">
        <v>192</v>
      </c>
      <c r="D97" t="s">
        <v>193</v>
      </c>
      <c r="E97" t="s">
        <v>142</v>
      </c>
      <c r="F97" t="s">
        <v>25</v>
      </c>
      <c r="G97" t="s">
        <v>143</v>
      </c>
      <c r="H97" t="s">
        <v>59</v>
      </c>
      <c r="I97" t="s">
        <v>60</v>
      </c>
      <c r="J97" t="s">
        <v>61</v>
      </c>
      <c r="K97">
        <v>4</v>
      </c>
      <c r="L97">
        <v>43700</v>
      </c>
      <c r="M97" s="7">
        <v>0.05</v>
      </c>
      <c r="N97">
        <v>6972.3</v>
      </c>
      <c r="O97" t="s">
        <v>39</v>
      </c>
      <c r="P97">
        <f t="shared" si="5"/>
        <v>2025</v>
      </c>
      <c r="Q97" t="str">
        <f t="shared" si="6"/>
        <v>Sep</v>
      </c>
      <c r="R97" s="3">
        <f t="shared" si="7"/>
        <v>0.15954919908466819</v>
      </c>
      <c r="S97" t="str">
        <f t="shared" si="8"/>
        <v>High</v>
      </c>
      <c r="T97">
        <f t="shared" si="9"/>
        <v>9</v>
      </c>
    </row>
    <row r="98" spans="1:20">
      <c r="A98" t="s">
        <v>283</v>
      </c>
      <c r="B98" s="2">
        <v>45727</v>
      </c>
      <c r="C98" t="s">
        <v>155</v>
      </c>
      <c r="D98" t="s">
        <v>99</v>
      </c>
      <c r="E98" t="s">
        <v>121</v>
      </c>
      <c r="F98" t="s">
        <v>44</v>
      </c>
      <c r="G98" t="s">
        <v>122</v>
      </c>
      <c r="H98" t="s">
        <v>36</v>
      </c>
      <c r="I98" t="s">
        <v>115</v>
      </c>
      <c r="J98" t="s">
        <v>116</v>
      </c>
      <c r="K98">
        <v>1</v>
      </c>
      <c r="L98">
        <v>5850</v>
      </c>
      <c r="M98" s="7">
        <v>0.1</v>
      </c>
      <c r="N98">
        <v>1130.07</v>
      </c>
      <c r="O98" t="s">
        <v>91</v>
      </c>
      <c r="P98">
        <f t="shared" si="5"/>
        <v>2025</v>
      </c>
      <c r="Q98" t="str">
        <f t="shared" si="6"/>
        <v>Mar</v>
      </c>
      <c r="R98" s="3">
        <f t="shared" si="7"/>
        <v>0.19317435897435897</v>
      </c>
      <c r="S98" t="str">
        <f t="shared" si="8"/>
        <v>Low</v>
      </c>
      <c r="T98">
        <f t="shared" si="9"/>
        <v>3</v>
      </c>
    </row>
    <row r="99" spans="1:20">
      <c r="A99" t="s">
        <v>284</v>
      </c>
      <c r="B99" s="2">
        <v>45659</v>
      </c>
      <c r="C99" t="s">
        <v>285</v>
      </c>
      <c r="D99" t="s">
        <v>286</v>
      </c>
      <c r="E99" t="s">
        <v>103</v>
      </c>
      <c r="F99" t="s">
        <v>25</v>
      </c>
      <c r="G99" t="s">
        <v>104</v>
      </c>
      <c r="H99" t="s">
        <v>27</v>
      </c>
      <c r="I99" t="s">
        <v>28</v>
      </c>
      <c r="J99" t="s">
        <v>29</v>
      </c>
      <c r="K99">
        <v>3</v>
      </c>
      <c r="L99">
        <v>63000</v>
      </c>
      <c r="M99" s="7">
        <v>0.25</v>
      </c>
      <c r="N99">
        <v>3340.74</v>
      </c>
      <c r="O99" t="s">
        <v>71</v>
      </c>
      <c r="P99">
        <f t="shared" si="5"/>
        <v>2025</v>
      </c>
      <c r="Q99" t="str">
        <f t="shared" si="6"/>
        <v>Jan</v>
      </c>
      <c r="R99" s="3">
        <f t="shared" si="7"/>
        <v>5.3027619047619046E-2</v>
      </c>
      <c r="S99" t="str">
        <f t="shared" si="8"/>
        <v>High</v>
      </c>
      <c r="T99">
        <f t="shared" si="9"/>
        <v>1</v>
      </c>
    </row>
    <row r="100" spans="1:20">
      <c r="A100" t="s">
        <v>287</v>
      </c>
      <c r="B100" s="2">
        <v>45933</v>
      </c>
      <c r="C100" t="s">
        <v>288</v>
      </c>
      <c r="D100" t="s">
        <v>289</v>
      </c>
      <c r="E100" t="s">
        <v>87</v>
      </c>
      <c r="F100" t="s">
        <v>44</v>
      </c>
      <c r="G100" t="s">
        <v>88</v>
      </c>
      <c r="H100" t="s">
        <v>36</v>
      </c>
      <c r="I100" t="s">
        <v>37</v>
      </c>
      <c r="J100" t="s">
        <v>38</v>
      </c>
      <c r="K100">
        <v>4</v>
      </c>
      <c r="L100">
        <v>43200</v>
      </c>
      <c r="M100" s="7">
        <v>0.1</v>
      </c>
      <c r="N100">
        <v>4640.38</v>
      </c>
      <c r="O100" t="s">
        <v>71</v>
      </c>
      <c r="P100">
        <f t="shared" si="5"/>
        <v>2025</v>
      </c>
      <c r="Q100" t="str">
        <f t="shared" si="6"/>
        <v>Oct</v>
      </c>
      <c r="R100" s="3">
        <f t="shared" si="7"/>
        <v>0.10741620370370371</v>
      </c>
      <c r="S100" t="str">
        <f t="shared" si="8"/>
        <v>High</v>
      </c>
      <c r="T100">
        <f t="shared" si="9"/>
        <v>10</v>
      </c>
    </row>
    <row r="101" spans="1:20">
      <c r="A101" t="s">
        <v>290</v>
      </c>
      <c r="B101" s="2">
        <v>45822</v>
      </c>
      <c r="C101" t="s">
        <v>181</v>
      </c>
      <c r="D101" t="s">
        <v>182</v>
      </c>
      <c r="E101" t="s">
        <v>95</v>
      </c>
      <c r="F101" t="s">
        <v>25</v>
      </c>
      <c r="G101" t="s">
        <v>26</v>
      </c>
      <c r="H101" t="s">
        <v>59</v>
      </c>
      <c r="I101" t="s">
        <v>81</v>
      </c>
      <c r="J101" t="s">
        <v>82</v>
      </c>
      <c r="K101">
        <v>2</v>
      </c>
      <c r="L101">
        <v>675</v>
      </c>
      <c r="M101" s="7">
        <v>0.25</v>
      </c>
      <c r="N101">
        <v>36.33</v>
      </c>
      <c r="O101" t="s">
        <v>71</v>
      </c>
      <c r="P101">
        <f t="shared" si="5"/>
        <v>2025</v>
      </c>
      <c r="Q101" t="str">
        <f t="shared" si="6"/>
        <v>Jun</v>
      </c>
      <c r="R101" s="3">
        <f t="shared" si="7"/>
        <v>5.3822222222222223E-2</v>
      </c>
      <c r="S101" t="str">
        <f t="shared" si="8"/>
        <v>Low</v>
      </c>
      <c r="T101">
        <f t="shared" si="9"/>
        <v>6</v>
      </c>
    </row>
    <row r="102" spans="1:20">
      <c r="A102" t="s">
        <v>291</v>
      </c>
      <c r="B102" s="2">
        <v>45900</v>
      </c>
      <c r="C102" t="s">
        <v>292</v>
      </c>
      <c r="D102" t="s">
        <v>293</v>
      </c>
      <c r="E102" t="s">
        <v>160</v>
      </c>
      <c r="F102" t="s">
        <v>25</v>
      </c>
      <c r="G102" t="s">
        <v>161</v>
      </c>
      <c r="H102" t="s">
        <v>27</v>
      </c>
      <c r="I102" t="s">
        <v>28</v>
      </c>
      <c r="J102" t="s">
        <v>29</v>
      </c>
      <c r="K102">
        <v>4</v>
      </c>
      <c r="L102">
        <v>10880</v>
      </c>
      <c r="M102" s="7">
        <v>0.15</v>
      </c>
      <c r="N102">
        <v>2371.4899999999998</v>
      </c>
      <c r="O102" t="s">
        <v>39</v>
      </c>
      <c r="P102">
        <f t="shared" si="5"/>
        <v>2025</v>
      </c>
      <c r="Q102" t="str">
        <f t="shared" si="6"/>
        <v>Aug</v>
      </c>
      <c r="R102" s="3">
        <f t="shared" si="7"/>
        <v>0.21796783088235291</v>
      </c>
      <c r="S102" t="str">
        <f t="shared" si="8"/>
        <v>Low</v>
      </c>
      <c r="T102">
        <f t="shared" si="9"/>
        <v>8</v>
      </c>
    </row>
    <row r="103" spans="1:20">
      <c r="A103" t="s">
        <v>294</v>
      </c>
      <c r="B103" s="2">
        <v>45722</v>
      </c>
      <c r="C103" t="s">
        <v>178</v>
      </c>
      <c r="D103" t="s">
        <v>86</v>
      </c>
      <c r="E103" t="s">
        <v>34</v>
      </c>
      <c r="F103" t="s">
        <v>25</v>
      </c>
      <c r="G103" t="s">
        <v>35</v>
      </c>
      <c r="H103" t="s">
        <v>36</v>
      </c>
      <c r="I103" t="s">
        <v>37</v>
      </c>
      <c r="J103" t="s">
        <v>38</v>
      </c>
      <c r="K103">
        <v>5</v>
      </c>
      <c r="L103">
        <v>220000</v>
      </c>
      <c r="M103" s="7">
        <v>0.2</v>
      </c>
      <c r="N103">
        <v>22303.759999999998</v>
      </c>
      <c r="O103" t="s">
        <v>71</v>
      </c>
      <c r="P103">
        <f t="shared" si="5"/>
        <v>2025</v>
      </c>
      <c r="Q103" t="str">
        <f t="shared" si="6"/>
        <v>Mar</v>
      </c>
      <c r="R103" s="3">
        <f t="shared" si="7"/>
        <v>0.10138072727272726</v>
      </c>
      <c r="S103" t="str">
        <f t="shared" si="8"/>
        <v>High</v>
      </c>
      <c r="T103">
        <f t="shared" si="9"/>
        <v>3</v>
      </c>
    </row>
    <row r="104" spans="1:20">
      <c r="A104" t="s">
        <v>295</v>
      </c>
      <c r="B104" s="2">
        <v>45891</v>
      </c>
      <c r="C104" t="s">
        <v>32</v>
      </c>
      <c r="D104" t="s">
        <v>33</v>
      </c>
      <c r="E104" t="s">
        <v>121</v>
      </c>
      <c r="F104" t="s">
        <v>44</v>
      </c>
      <c r="G104" t="s">
        <v>122</v>
      </c>
      <c r="H104" t="s">
        <v>36</v>
      </c>
      <c r="I104" t="s">
        <v>37</v>
      </c>
      <c r="J104" t="s">
        <v>38</v>
      </c>
      <c r="K104">
        <v>1</v>
      </c>
      <c r="L104">
        <v>4875</v>
      </c>
      <c r="M104" s="7">
        <v>0.25</v>
      </c>
      <c r="N104">
        <v>21.44</v>
      </c>
      <c r="O104" t="s">
        <v>39</v>
      </c>
      <c r="P104">
        <f t="shared" si="5"/>
        <v>2025</v>
      </c>
      <c r="Q104" t="str">
        <f t="shared" si="6"/>
        <v>Aug</v>
      </c>
      <c r="R104" s="3">
        <f t="shared" si="7"/>
        <v>4.3979487179487183E-3</v>
      </c>
      <c r="S104" t="str">
        <f t="shared" si="8"/>
        <v>Low</v>
      </c>
      <c r="T104">
        <f t="shared" si="9"/>
        <v>8</v>
      </c>
    </row>
    <row r="105" spans="1:20">
      <c r="A105" t="s">
        <v>296</v>
      </c>
      <c r="B105" s="2">
        <v>45793</v>
      </c>
      <c r="C105" t="s">
        <v>259</v>
      </c>
      <c r="D105" t="s">
        <v>260</v>
      </c>
      <c r="E105" t="s">
        <v>87</v>
      </c>
      <c r="F105" t="s">
        <v>44</v>
      </c>
      <c r="G105" t="s">
        <v>88</v>
      </c>
      <c r="H105" t="s">
        <v>27</v>
      </c>
      <c r="I105" t="s">
        <v>65</v>
      </c>
      <c r="J105" t="s">
        <v>66</v>
      </c>
      <c r="K105">
        <v>3</v>
      </c>
      <c r="L105">
        <v>28800</v>
      </c>
      <c r="M105" s="7">
        <v>0.2</v>
      </c>
      <c r="N105">
        <v>4206.21</v>
      </c>
      <c r="O105" t="s">
        <v>91</v>
      </c>
      <c r="P105">
        <f t="shared" si="5"/>
        <v>2025</v>
      </c>
      <c r="Q105" t="str">
        <f t="shared" si="6"/>
        <v>May</v>
      </c>
      <c r="R105" s="3">
        <f t="shared" si="7"/>
        <v>0.14604895833333334</v>
      </c>
      <c r="S105" t="str">
        <f t="shared" si="8"/>
        <v>Low</v>
      </c>
      <c r="T105">
        <f t="shared" si="9"/>
        <v>5</v>
      </c>
    </row>
    <row r="106" spans="1:20">
      <c r="A106" t="s">
        <v>297</v>
      </c>
      <c r="B106" s="2">
        <v>45820</v>
      </c>
      <c r="C106" t="s">
        <v>298</v>
      </c>
      <c r="D106" t="s">
        <v>299</v>
      </c>
      <c r="E106" t="s">
        <v>43</v>
      </c>
      <c r="F106" t="s">
        <v>44</v>
      </c>
      <c r="G106" t="s">
        <v>45</v>
      </c>
      <c r="H106" t="s">
        <v>36</v>
      </c>
      <c r="I106" t="s">
        <v>37</v>
      </c>
      <c r="J106" t="s">
        <v>38</v>
      </c>
      <c r="K106">
        <v>4</v>
      </c>
      <c r="L106">
        <v>23800</v>
      </c>
      <c r="M106" s="7">
        <v>0.3</v>
      </c>
      <c r="N106">
        <v>1949.07</v>
      </c>
      <c r="O106" t="s">
        <v>39</v>
      </c>
      <c r="P106">
        <f t="shared" si="5"/>
        <v>2025</v>
      </c>
      <c r="Q106" t="str">
        <f t="shared" si="6"/>
        <v>Jun</v>
      </c>
      <c r="R106" s="3">
        <f t="shared" si="7"/>
        <v>8.1893697478991598E-2</v>
      </c>
      <c r="S106" t="str">
        <f t="shared" si="8"/>
        <v>Low</v>
      </c>
      <c r="T106">
        <f t="shared" si="9"/>
        <v>6</v>
      </c>
    </row>
    <row r="107" spans="1:20">
      <c r="A107" t="s">
        <v>300</v>
      </c>
      <c r="B107" s="2">
        <v>45704</v>
      </c>
      <c r="C107" t="s">
        <v>278</v>
      </c>
      <c r="D107" t="s">
        <v>279</v>
      </c>
      <c r="E107" t="s">
        <v>126</v>
      </c>
      <c r="F107" t="s">
        <v>25</v>
      </c>
      <c r="G107" t="s">
        <v>35</v>
      </c>
      <c r="H107" t="s">
        <v>36</v>
      </c>
      <c r="I107" t="s">
        <v>89</v>
      </c>
      <c r="J107" t="s">
        <v>90</v>
      </c>
      <c r="K107">
        <v>4</v>
      </c>
      <c r="L107">
        <v>58000</v>
      </c>
      <c r="M107" s="7">
        <v>0</v>
      </c>
      <c r="N107">
        <v>13460.29</v>
      </c>
      <c r="O107" t="s">
        <v>83</v>
      </c>
      <c r="P107">
        <f t="shared" si="5"/>
        <v>2025</v>
      </c>
      <c r="Q107" t="str">
        <f t="shared" si="6"/>
        <v>Feb</v>
      </c>
      <c r="R107" s="3">
        <f t="shared" si="7"/>
        <v>0.23207396551724138</v>
      </c>
      <c r="S107" t="str">
        <f t="shared" si="8"/>
        <v>High</v>
      </c>
      <c r="T107">
        <f t="shared" si="9"/>
        <v>2</v>
      </c>
    </row>
    <row r="108" spans="1:20">
      <c r="A108" t="s">
        <v>301</v>
      </c>
      <c r="B108" s="2">
        <v>46013</v>
      </c>
      <c r="C108" t="s">
        <v>262</v>
      </c>
      <c r="D108" t="s">
        <v>94</v>
      </c>
      <c r="E108" t="s">
        <v>24</v>
      </c>
      <c r="F108" t="s">
        <v>25</v>
      </c>
      <c r="G108" t="s">
        <v>26</v>
      </c>
      <c r="H108" t="s">
        <v>36</v>
      </c>
      <c r="I108" t="s">
        <v>89</v>
      </c>
      <c r="J108" t="s">
        <v>90</v>
      </c>
      <c r="K108">
        <v>3</v>
      </c>
      <c r="L108">
        <v>5400</v>
      </c>
      <c r="M108" s="7">
        <v>0</v>
      </c>
      <c r="N108">
        <v>481.67</v>
      </c>
      <c r="O108" t="s">
        <v>91</v>
      </c>
      <c r="P108">
        <f t="shared" si="5"/>
        <v>2025</v>
      </c>
      <c r="Q108" t="str">
        <f t="shared" si="6"/>
        <v>Dec</v>
      </c>
      <c r="R108" s="3">
        <f t="shared" si="7"/>
        <v>8.9198148148148151E-2</v>
      </c>
      <c r="S108" t="str">
        <f t="shared" si="8"/>
        <v>Low</v>
      </c>
      <c r="T108">
        <f t="shared" si="9"/>
        <v>12</v>
      </c>
    </row>
    <row r="109" spans="1:20">
      <c r="A109" t="s">
        <v>302</v>
      </c>
      <c r="B109" s="2">
        <v>45878</v>
      </c>
      <c r="C109" t="s">
        <v>124</v>
      </c>
      <c r="D109" t="s">
        <v>125</v>
      </c>
      <c r="E109" t="s">
        <v>160</v>
      </c>
      <c r="F109" t="s">
        <v>25</v>
      </c>
      <c r="G109" t="s">
        <v>161</v>
      </c>
      <c r="H109" t="s">
        <v>127</v>
      </c>
      <c r="I109" t="s">
        <v>128</v>
      </c>
      <c r="J109" t="s">
        <v>129</v>
      </c>
      <c r="K109">
        <v>2</v>
      </c>
      <c r="L109">
        <v>6080</v>
      </c>
      <c r="M109" s="7">
        <v>0.05</v>
      </c>
      <c r="N109">
        <v>1028.49</v>
      </c>
      <c r="O109" t="s">
        <v>39</v>
      </c>
      <c r="P109">
        <f t="shared" si="5"/>
        <v>2025</v>
      </c>
      <c r="Q109" t="str">
        <f t="shared" si="6"/>
        <v>Aug</v>
      </c>
      <c r="R109" s="3">
        <f t="shared" si="7"/>
        <v>0.1691595394736842</v>
      </c>
      <c r="S109" t="str">
        <f t="shared" si="8"/>
        <v>Low</v>
      </c>
      <c r="T109">
        <f t="shared" si="9"/>
        <v>8</v>
      </c>
    </row>
    <row r="110" spans="1:20">
      <c r="A110" t="s">
        <v>303</v>
      </c>
      <c r="B110" s="2">
        <v>45698</v>
      </c>
      <c r="C110" t="s">
        <v>41</v>
      </c>
      <c r="D110" t="s">
        <v>42</v>
      </c>
      <c r="E110" t="s">
        <v>24</v>
      </c>
      <c r="F110" t="s">
        <v>25</v>
      </c>
      <c r="G110" t="s">
        <v>26</v>
      </c>
      <c r="H110" t="s">
        <v>27</v>
      </c>
      <c r="I110" t="s">
        <v>46</v>
      </c>
      <c r="J110" t="s">
        <v>46</v>
      </c>
      <c r="K110">
        <v>5</v>
      </c>
      <c r="L110">
        <v>6300</v>
      </c>
      <c r="M110" s="7">
        <v>0.3</v>
      </c>
      <c r="N110">
        <v>285.22000000000003</v>
      </c>
      <c r="O110" t="s">
        <v>71</v>
      </c>
      <c r="P110">
        <f t="shared" si="5"/>
        <v>2025</v>
      </c>
      <c r="Q110" t="str">
        <f t="shared" si="6"/>
        <v>Feb</v>
      </c>
      <c r="R110" s="3">
        <f t="shared" si="7"/>
        <v>4.5273015873015875E-2</v>
      </c>
      <c r="S110" t="str">
        <f t="shared" si="8"/>
        <v>Low</v>
      </c>
      <c r="T110">
        <f t="shared" si="9"/>
        <v>2</v>
      </c>
    </row>
    <row r="111" spans="1:20">
      <c r="A111" t="s">
        <v>304</v>
      </c>
      <c r="B111" s="2">
        <v>45776</v>
      </c>
      <c r="C111" t="s">
        <v>73</v>
      </c>
      <c r="D111" t="s">
        <v>74</v>
      </c>
      <c r="E111" t="s">
        <v>24</v>
      </c>
      <c r="F111" t="s">
        <v>25</v>
      </c>
      <c r="G111" t="s">
        <v>26</v>
      </c>
      <c r="H111" t="s">
        <v>27</v>
      </c>
      <c r="I111" t="s">
        <v>46</v>
      </c>
      <c r="J111" t="s">
        <v>46</v>
      </c>
      <c r="K111">
        <v>4</v>
      </c>
      <c r="L111">
        <v>5400</v>
      </c>
      <c r="M111" s="7">
        <v>0.25</v>
      </c>
      <c r="N111">
        <v>350.12</v>
      </c>
      <c r="O111" t="s">
        <v>83</v>
      </c>
      <c r="P111">
        <f t="shared" si="5"/>
        <v>2025</v>
      </c>
      <c r="Q111" t="str">
        <f t="shared" si="6"/>
        <v>Apr</v>
      </c>
      <c r="R111" s="3">
        <f t="shared" si="7"/>
        <v>6.483703703703704E-2</v>
      </c>
      <c r="S111" t="str">
        <f t="shared" si="8"/>
        <v>Low</v>
      </c>
      <c r="T111">
        <f t="shared" si="9"/>
        <v>4</v>
      </c>
    </row>
    <row r="112" spans="1:20">
      <c r="A112" t="s">
        <v>305</v>
      </c>
      <c r="B112" s="2">
        <v>45805</v>
      </c>
      <c r="C112" t="s">
        <v>224</v>
      </c>
      <c r="D112" t="s">
        <v>225</v>
      </c>
      <c r="E112" t="s">
        <v>95</v>
      </c>
      <c r="F112" t="s">
        <v>25</v>
      </c>
      <c r="G112" t="s">
        <v>26</v>
      </c>
      <c r="H112" t="s">
        <v>59</v>
      </c>
      <c r="I112" t="s">
        <v>60</v>
      </c>
      <c r="J112" t="s">
        <v>61</v>
      </c>
      <c r="K112">
        <v>5</v>
      </c>
      <c r="L112">
        <v>2137.5</v>
      </c>
      <c r="M112" s="7">
        <v>0.05</v>
      </c>
      <c r="N112">
        <v>155.94999999999999</v>
      </c>
      <c r="O112" t="s">
        <v>30</v>
      </c>
      <c r="P112">
        <f t="shared" si="5"/>
        <v>2025</v>
      </c>
      <c r="Q112" t="str">
        <f t="shared" si="6"/>
        <v>May</v>
      </c>
      <c r="R112" s="3">
        <f t="shared" si="7"/>
        <v>7.2959064327485376E-2</v>
      </c>
      <c r="S112" t="str">
        <f t="shared" si="8"/>
        <v>Low</v>
      </c>
      <c r="T112">
        <f t="shared" si="9"/>
        <v>5</v>
      </c>
    </row>
    <row r="113" spans="1:20">
      <c r="A113" t="s">
        <v>306</v>
      </c>
      <c r="B113" s="2">
        <v>45875</v>
      </c>
      <c r="C113" t="s">
        <v>98</v>
      </c>
      <c r="D113" t="s">
        <v>99</v>
      </c>
      <c r="E113" t="s">
        <v>147</v>
      </c>
      <c r="F113" t="s">
        <v>76</v>
      </c>
      <c r="G113" t="s">
        <v>77</v>
      </c>
      <c r="H113" t="s">
        <v>36</v>
      </c>
      <c r="I113" t="s">
        <v>89</v>
      </c>
      <c r="J113" t="s">
        <v>90</v>
      </c>
      <c r="K113">
        <v>3</v>
      </c>
      <c r="L113">
        <v>637.5</v>
      </c>
      <c r="M113" s="7">
        <v>0.15</v>
      </c>
      <c r="N113">
        <v>134.88999999999999</v>
      </c>
      <c r="O113" t="s">
        <v>71</v>
      </c>
      <c r="P113">
        <f t="shared" si="5"/>
        <v>2025</v>
      </c>
      <c r="Q113" t="str">
        <f t="shared" si="6"/>
        <v>Aug</v>
      </c>
      <c r="R113" s="3">
        <f t="shared" si="7"/>
        <v>0.21159215686274507</v>
      </c>
      <c r="S113" t="str">
        <f t="shared" si="8"/>
        <v>Low</v>
      </c>
      <c r="T113">
        <f t="shared" si="9"/>
        <v>8</v>
      </c>
    </row>
    <row r="114" spans="1:20">
      <c r="A114" t="s">
        <v>307</v>
      </c>
      <c r="B114" s="2">
        <v>45779</v>
      </c>
      <c r="C114" t="s">
        <v>247</v>
      </c>
      <c r="D114" t="s">
        <v>169</v>
      </c>
      <c r="E114" t="s">
        <v>70</v>
      </c>
      <c r="F114" t="s">
        <v>25</v>
      </c>
      <c r="G114" t="s">
        <v>26</v>
      </c>
      <c r="H114" t="s">
        <v>127</v>
      </c>
      <c r="I114" t="s">
        <v>128</v>
      </c>
      <c r="J114" t="s">
        <v>129</v>
      </c>
      <c r="K114">
        <v>4</v>
      </c>
      <c r="L114">
        <v>3840</v>
      </c>
      <c r="M114" s="7">
        <v>0.2</v>
      </c>
      <c r="N114">
        <v>372.47</v>
      </c>
      <c r="O114" t="s">
        <v>91</v>
      </c>
      <c r="P114">
        <f t="shared" si="5"/>
        <v>2025</v>
      </c>
      <c r="Q114" t="str">
        <f t="shared" si="6"/>
        <v>May</v>
      </c>
      <c r="R114" s="3">
        <f t="shared" si="7"/>
        <v>9.6997395833333347E-2</v>
      </c>
      <c r="S114" t="str">
        <f t="shared" si="8"/>
        <v>Low</v>
      </c>
      <c r="T114">
        <f t="shared" si="9"/>
        <v>5</v>
      </c>
    </row>
    <row r="115" spans="1:20">
      <c r="A115" t="s">
        <v>308</v>
      </c>
      <c r="B115" s="2">
        <v>45995</v>
      </c>
      <c r="C115" t="s">
        <v>309</v>
      </c>
      <c r="D115" t="s">
        <v>231</v>
      </c>
      <c r="E115" t="s">
        <v>142</v>
      </c>
      <c r="F115" t="s">
        <v>25</v>
      </c>
      <c r="G115" t="s">
        <v>143</v>
      </c>
      <c r="H115" t="s">
        <v>36</v>
      </c>
      <c r="I115" t="s">
        <v>37</v>
      </c>
      <c r="J115" t="s">
        <v>38</v>
      </c>
      <c r="K115">
        <v>4</v>
      </c>
      <c r="L115">
        <v>41400</v>
      </c>
      <c r="M115" s="7">
        <v>0.1</v>
      </c>
      <c r="N115">
        <v>1655.71</v>
      </c>
      <c r="O115" t="s">
        <v>83</v>
      </c>
      <c r="P115">
        <f t="shared" si="5"/>
        <v>2025</v>
      </c>
      <c r="Q115" t="str">
        <f t="shared" si="6"/>
        <v>Dec</v>
      </c>
      <c r="R115" s="3">
        <f t="shared" si="7"/>
        <v>3.9992995169082127E-2</v>
      </c>
      <c r="S115" t="str">
        <f t="shared" si="8"/>
        <v>High</v>
      </c>
      <c r="T115">
        <f t="shared" si="9"/>
        <v>12</v>
      </c>
    </row>
    <row r="116" spans="1:20">
      <c r="A116" t="s">
        <v>310</v>
      </c>
      <c r="B116" s="2">
        <v>45912</v>
      </c>
      <c r="C116" t="s">
        <v>168</v>
      </c>
      <c r="D116" t="s">
        <v>169</v>
      </c>
      <c r="E116" t="s">
        <v>56</v>
      </c>
      <c r="F116" t="s">
        <v>57</v>
      </c>
      <c r="G116" t="s">
        <v>58</v>
      </c>
      <c r="H116" t="s">
        <v>36</v>
      </c>
      <c r="I116" t="s">
        <v>37</v>
      </c>
      <c r="J116" t="s">
        <v>38</v>
      </c>
      <c r="K116">
        <v>3</v>
      </c>
      <c r="L116">
        <v>3360</v>
      </c>
      <c r="M116" s="7">
        <v>0.3</v>
      </c>
      <c r="N116">
        <v>451.05</v>
      </c>
      <c r="O116" t="s">
        <v>91</v>
      </c>
      <c r="P116">
        <f t="shared" si="5"/>
        <v>2025</v>
      </c>
      <c r="Q116" t="str">
        <f t="shared" si="6"/>
        <v>Sep</v>
      </c>
      <c r="R116" s="3">
        <f t="shared" si="7"/>
        <v>0.13424107142857145</v>
      </c>
      <c r="S116" t="str">
        <f t="shared" si="8"/>
        <v>Low</v>
      </c>
      <c r="T116">
        <f t="shared" si="9"/>
        <v>9</v>
      </c>
    </row>
    <row r="117" spans="1:20">
      <c r="A117" t="s">
        <v>311</v>
      </c>
      <c r="B117" s="2">
        <v>45755</v>
      </c>
      <c r="C117" t="s">
        <v>312</v>
      </c>
      <c r="D117" t="s">
        <v>313</v>
      </c>
      <c r="E117" t="s">
        <v>147</v>
      </c>
      <c r="F117" t="s">
        <v>76</v>
      </c>
      <c r="G117" t="s">
        <v>77</v>
      </c>
      <c r="H117" t="s">
        <v>27</v>
      </c>
      <c r="I117" t="s">
        <v>46</v>
      </c>
      <c r="J117" t="s">
        <v>46</v>
      </c>
      <c r="K117">
        <v>5</v>
      </c>
      <c r="L117">
        <v>1125</v>
      </c>
      <c r="M117" s="7">
        <v>0.1</v>
      </c>
      <c r="N117">
        <v>199.72</v>
      </c>
      <c r="O117" t="s">
        <v>39</v>
      </c>
      <c r="P117">
        <f t="shared" si="5"/>
        <v>2025</v>
      </c>
      <c r="Q117" t="str">
        <f t="shared" si="6"/>
        <v>Apr</v>
      </c>
      <c r="R117" s="3">
        <f t="shared" si="7"/>
        <v>0.17752888888888887</v>
      </c>
      <c r="S117" t="str">
        <f t="shared" si="8"/>
        <v>Low</v>
      </c>
      <c r="T117">
        <f t="shared" si="9"/>
        <v>4</v>
      </c>
    </row>
    <row r="118" spans="1:20">
      <c r="A118" t="s">
        <v>314</v>
      </c>
      <c r="B118" s="2">
        <v>45979</v>
      </c>
      <c r="C118" t="s">
        <v>32</v>
      </c>
      <c r="D118" t="s">
        <v>33</v>
      </c>
      <c r="E118" t="s">
        <v>95</v>
      </c>
      <c r="F118" t="s">
        <v>25</v>
      </c>
      <c r="G118" t="s">
        <v>26</v>
      </c>
      <c r="H118" t="s">
        <v>36</v>
      </c>
      <c r="I118" t="s">
        <v>37</v>
      </c>
      <c r="J118" t="s">
        <v>38</v>
      </c>
      <c r="K118">
        <v>1</v>
      </c>
      <c r="L118">
        <v>405</v>
      </c>
      <c r="M118" s="7">
        <v>0.1</v>
      </c>
      <c r="N118">
        <v>87.84</v>
      </c>
      <c r="O118" t="s">
        <v>91</v>
      </c>
      <c r="P118">
        <f t="shared" si="5"/>
        <v>2025</v>
      </c>
      <c r="Q118" t="str">
        <f t="shared" si="6"/>
        <v>Nov</v>
      </c>
      <c r="R118" s="3">
        <f t="shared" si="7"/>
        <v>0.21688888888888891</v>
      </c>
      <c r="S118" t="str">
        <f t="shared" si="8"/>
        <v>Low</v>
      </c>
      <c r="T118">
        <f t="shared" si="9"/>
        <v>11</v>
      </c>
    </row>
    <row r="119" spans="1:20">
      <c r="A119" t="s">
        <v>315</v>
      </c>
      <c r="B119" s="2">
        <v>45809</v>
      </c>
      <c r="C119" t="s">
        <v>93</v>
      </c>
      <c r="D119" t="s">
        <v>94</v>
      </c>
      <c r="E119" t="s">
        <v>70</v>
      </c>
      <c r="F119" t="s">
        <v>25</v>
      </c>
      <c r="G119" t="s">
        <v>26</v>
      </c>
      <c r="H119" t="s">
        <v>59</v>
      </c>
      <c r="I119" t="s">
        <v>96</v>
      </c>
      <c r="J119" t="s">
        <v>61</v>
      </c>
      <c r="K119">
        <v>3</v>
      </c>
      <c r="L119">
        <v>2700</v>
      </c>
      <c r="M119" s="7">
        <v>0.25</v>
      </c>
      <c r="N119">
        <v>271.49</v>
      </c>
      <c r="O119" t="s">
        <v>30</v>
      </c>
      <c r="P119">
        <f t="shared" si="5"/>
        <v>2025</v>
      </c>
      <c r="Q119" t="str">
        <f t="shared" si="6"/>
        <v>Jun</v>
      </c>
      <c r="R119" s="3">
        <f t="shared" si="7"/>
        <v>0.10055185185185185</v>
      </c>
      <c r="S119" t="str">
        <f t="shared" si="8"/>
        <v>Low</v>
      </c>
      <c r="T119">
        <f t="shared" si="9"/>
        <v>6</v>
      </c>
    </row>
    <row r="120" spans="1:20">
      <c r="A120" t="s">
        <v>316</v>
      </c>
      <c r="B120" s="2">
        <v>45914</v>
      </c>
      <c r="C120" t="s">
        <v>317</v>
      </c>
      <c r="D120" t="s">
        <v>318</v>
      </c>
      <c r="E120" t="s">
        <v>121</v>
      </c>
      <c r="F120" t="s">
        <v>44</v>
      </c>
      <c r="G120" t="s">
        <v>122</v>
      </c>
      <c r="H120" t="s">
        <v>59</v>
      </c>
      <c r="I120" t="s">
        <v>81</v>
      </c>
      <c r="J120" t="s">
        <v>82</v>
      </c>
      <c r="K120">
        <v>3</v>
      </c>
      <c r="L120">
        <v>13650</v>
      </c>
      <c r="M120" s="7">
        <v>0.3</v>
      </c>
      <c r="N120">
        <v>-213.55</v>
      </c>
      <c r="O120" t="s">
        <v>71</v>
      </c>
      <c r="P120">
        <f t="shared" si="5"/>
        <v>2025</v>
      </c>
      <c r="Q120" t="str">
        <f t="shared" si="6"/>
        <v>Sep</v>
      </c>
      <c r="R120" s="3">
        <f t="shared" si="7"/>
        <v>-1.5644688644688647E-2</v>
      </c>
      <c r="S120" t="str">
        <f t="shared" si="8"/>
        <v>Low</v>
      </c>
      <c r="T120">
        <f t="shared" si="9"/>
        <v>9</v>
      </c>
    </row>
    <row r="121" spans="1:20">
      <c r="A121" t="s">
        <v>319</v>
      </c>
      <c r="B121" s="2">
        <v>45831</v>
      </c>
      <c r="C121" t="s">
        <v>245</v>
      </c>
      <c r="D121" t="s">
        <v>52</v>
      </c>
      <c r="E121" t="s">
        <v>56</v>
      </c>
      <c r="F121" t="s">
        <v>57</v>
      </c>
      <c r="G121" t="s">
        <v>58</v>
      </c>
      <c r="H121" t="s">
        <v>36</v>
      </c>
      <c r="I121" t="s">
        <v>37</v>
      </c>
      <c r="J121" t="s">
        <v>38</v>
      </c>
      <c r="K121">
        <v>1</v>
      </c>
      <c r="L121">
        <v>1360</v>
      </c>
      <c r="M121" s="7">
        <v>0.15</v>
      </c>
      <c r="N121">
        <v>322.73</v>
      </c>
      <c r="O121" t="s">
        <v>39</v>
      </c>
      <c r="P121">
        <f t="shared" si="5"/>
        <v>2025</v>
      </c>
      <c r="Q121" t="str">
        <f t="shared" si="6"/>
        <v>Jun</v>
      </c>
      <c r="R121" s="3">
        <f t="shared" si="7"/>
        <v>0.23730147058823531</v>
      </c>
      <c r="S121" t="str">
        <f t="shared" si="8"/>
        <v>Low</v>
      </c>
      <c r="T121">
        <f t="shared" si="9"/>
        <v>6</v>
      </c>
    </row>
    <row r="122" spans="1:20">
      <c r="A122" t="s">
        <v>320</v>
      </c>
      <c r="B122" s="2">
        <v>45943</v>
      </c>
      <c r="C122" t="s">
        <v>215</v>
      </c>
      <c r="D122" t="s">
        <v>216</v>
      </c>
      <c r="E122" t="s">
        <v>142</v>
      </c>
      <c r="F122" t="s">
        <v>25</v>
      </c>
      <c r="G122" t="s">
        <v>143</v>
      </c>
      <c r="H122" t="s">
        <v>59</v>
      </c>
      <c r="I122" t="s">
        <v>81</v>
      </c>
      <c r="J122" t="s">
        <v>82</v>
      </c>
      <c r="K122">
        <v>3</v>
      </c>
      <c r="L122">
        <v>34500</v>
      </c>
      <c r="M122" s="7">
        <v>0</v>
      </c>
      <c r="N122">
        <v>8215.7099999999991</v>
      </c>
      <c r="O122" t="s">
        <v>30</v>
      </c>
      <c r="P122">
        <f t="shared" si="5"/>
        <v>2025</v>
      </c>
      <c r="Q122" t="str">
        <f t="shared" si="6"/>
        <v>Oct</v>
      </c>
      <c r="R122" s="3">
        <f t="shared" si="7"/>
        <v>0.23813652173913041</v>
      </c>
      <c r="S122" t="str">
        <f t="shared" si="8"/>
        <v>High</v>
      </c>
      <c r="T122">
        <f t="shared" si="9"/>
        <v>10</v>
      </c>
    </row>
    <row r="123" spans="1:20">
      <c r="A123" t="s">
        <v>321</v>
      </c>
      <c r="B123" s="2">
        <v>45846</v>
      </c>
      <c r="C123" t="s">
        <v>322</v>
      </c>
      <c r="D123" t="s">
        <v>323</v>
      </c>
      <c r="E123" t="s">
        <v>87</v>
      </c>
      <c r="F123" t="s">
        <v>44</v>
      </c>
      <c r="G123" t="s">
        <v>88</v>
      </c>
      <c r="H123" t="s">
        <v>27</v>
      </c>
      <c r="I123" t="s">
        <v>65</v>
      </c>
      <c r="J123" t="s">
        <v>66</v>
      </c>
      <c r="K123">
        <v>3</v>
      </c>
      <c r="L123">
        <v>28800</v>
      </c>
      <c r="M123" s="7">
        <v>0.2</v>
      </c>
      <c r="N123">
        <v>2427.1999999999998</v>
      </c>
      <c r="O123" t="s">
        <v>91</v>
      </c>
      <c r="P123">
        <f t="shared" si="5"/>
        <v>2025</v>
      </c>
      <c r="Q123" t="str">
        <f t="shared" si="6"/>
        <v>Jul</v>
      </c>
      <c r="R123" s="3">
        <f t="shared" si="7"/>
        <v>8.4277777777777771E-2</v>
      </c>
      <c r="S123" t="str">
        <f t="shared" si="8"/>
        <v>Low</v>
      </c>
      <c r="T123">
        <f t="shared" si="9"/>
        <v>7</v>
      </c>
    </row>
    <row r="124" spans="1:20">
      <c r="A124" t="s">
        <v>324</v>
      </c>
      <c r="B124" s="2">
        <v>45777</v>
      </c>
      <c r="C124" t="s">
        <v>270</v>
      </c>
      <c r="D124" t="s">
        <v>271</v>
      </c>
      <c r="E124" t="s">
        <v>147</v>
      </c>
      <c r="F124" t="s">
        <v>76</v>
      </c>
      <c r="G124" t="s">
        <v>77</v>
      </c>
      <c r="H124" t="s">
        <v>27</v>
      </c>
      <c r="I124" t="s">
        <v>28</v>
      </c>
      <c r="J124" t="s">
        <v>29</v>
      </c>
      <c r="K124">
        <v>4</v>
      </c>
      <c r="L124">
        <v>1000</v>
      </c>
      <c r="M124" s="7">
        <v>0</v>
      </c>
      <c r="N124">
        <v>203.91</v>
      </c>
      <c r="O124" t="s">
        <v>91</v>
      </c>
      <c r="P124">
        <f t="shared" si="5"/>
        <v>2025</v>
      </c>
      <c r="Q124" t="str">
        <f t="shared" si="6"/>
        <v>Apr</v>
      </c>
      <c r="R124" s="3">
        <f t="shared" si="7"/>
        <v>0.20391000000000001</v>
      </c>
      <c r="S124" t="str">
        <f t="shared" si="8"/>
        <v>Low</v>
      </c>
      <c r="T124">
        <f t="shared" si="9"/>
        <v>4</v>
      </c>
    </row>
    <row r="125" spans="1:20">
      <c r="A125" t="s">
        <v>325</v>
      </c>
      <c r="B125" s="2">
        <v>45989</v>
      </c>
      <c r="C125" t="s">
        <v>184</v>
      </c>
      <c r="D125" t="s">
        <v>86</v>
      </c>
      <c r="E125" t="s">
        <v>126</v>
      </c>
      <c r="F125" t="s">
        <v>25</v>
      </c>
      <c r="G125" t="s">
        <v>35</v>
      </c>
      <c r="H125" t="s">
        <v>59</v>
      </c>
      <c r="I125" t="s">
        <v>60</v>
      </c>
      <c r="J125" t="s">
        <v>61</v>
      </c>
      <c r="K125">
        <v>1</v>
      </c>
      <c r="L125">
        <v>10875</v>
      </c>
      <c r="M125" s="7">
        <v>0.25</v>
      </c>
      <c r="N125">
        <v>1500.04</v>
      </c>
      <c r="O125" t="s">
        <v>91</v>
      </c>
      <c r="P125">
        <f t="shared" si="5"/>
        <v>2025</v>
      </c>
      <c r="Q125" t="str">
        <f t="shared" si="6"/>
        <v>Nov</v>
      </c>
      <c r="R125" s="3">
        <f t="shared" si="7"/>
        <v>0.13793471264367815</v>
      </c>
      <c r="S125" t="str">
        <f t="shared" si="8"/>
        <v>Low</v>
      </c>
      <c r="T125">
        <f t="shared" si="9"/>
        <v>11</v>
      </c>
    </row>
    <row r="126" spans="1:20">
      <c r="A126" t="s">
        <v>326</v>
      </c>
      <c r="B126" s="2">
        <v>45729</v>
      </c>
      <c r="C126" t="s">
        <v>134</v>
      </c>
      <c r="D126" t="s">
        <v>135</v>
      </c>
      <c r="E126" t="s">
        <v>70</v>
      </c>
      <c r="F126" t="s">
        <v>25</v>
      </c>
      <c r="G126" t="s">
        <v>26</v>
      </c>
      <c r="H126" t="s">
        <v>36</v>
      </c>
      <c r="I126" t="s">
        <v>37</v>
      </c>
      <c r="J126" t="s">
        <v>38</v>
      </c>
      <c r="K126">
        <v>1</v>
      </c>
      <c r="L126">
        <v>1200</v>
      </c>
      <c r="M126" s="7">
        <v>0</v>
      </c>
      <c r="N126">
        <v>169.05</v>
      </c>
      <c r="O126" t="s">
        <v>83</v>
      </c>
      <c r="P126">
        <f t="shared" si="5"/>
        <v>2025</v>
      </c>
      <c r="Q126" t="str">
        <f t="shared" si="6"/>
        <v>Mar</v>
      </c>
      <c r="R126" s="3">
        <f t="shared" si="7"/>
        <v>0.140875</v>
      </c>
      <c r="S126" t="str">
        <f t="shared" si="8"/>
        <v>Low</v>
      </c>
      <c r="T126">
        <f t="shared" si="9"/>
        <v>3</v>
      </c>
    </row>
    <row r="127" spans="1:20">
      <c r="A127" t="s">
        <v>327</v>
      </c>
      <c r="B127" s="2">
        <v>45933</v>
      </c>
      <c r="C127" t="s">
        <v>172</v>
      </c>
      <c r="D127" t="s">
        <v>173</v>
      </c>
      <c r="E127" t="s">
        <v>95</v>
      </c>
      <c r="F127" t="s">
        <v>25</v>
      </c>
      <c r="G127" t="s">
        <v>26</v>
      </c>
      <c r="H127" t="s">
        <v>27</v>
      </c>
      <c r="I127" t="s">
        <v>46</v>
      </c>
      <c r="J127" t="s">
        <v>46</v>
      </c>
      <c r="K127">
        <v>2</v>
      </c>
      <c r="L127">
        <v>765</v>
      </c>
      <c r="M127" s="7">
        <v>0.15</v>
      </c>
      <c r="N127">
        <v>88.42</v>
      </c>
      <c r="O127" t="s">
        <v>30</v>
      </c>
      <c r="P127">
        <f t="shared" si="5"/>
        <v>2025</v>
      </c>
      <c r="Q127" t="str">
        <f t="shared" si="6"/>
        <v>Oct</v>
      </c>
      <c r="R127" s="3">
        <f t="shared" si="7"/>
        <v>0.11558169934640523</v>
      </c>
      <c r="S127" t="str">
        <f t="shared" si="8"/>
        <v>Low</v>
      </c>
      <c r="T127">
        <f t="shared" si="9"/>
        <v>10</v>
      </c>
    </row>
    <row r="128" spans="1:20">
      <c r="A128" t="s">
        <v>328</v>
      </c>
      <c r="B128" s="2">
        <v>45737</v>
      </c>
      <c r="C128" t="s">
        <v>192</v>
      </c>
      <c r="D128" t="s">
        <v>193</v>
      </c>
      <c r="E128" t="s">
        <v>75</v>
      </c>
      <c r="F128" t="s">
        <v>76</v>
      </c>
      <c r="G128" t="s">
        <v>77</v>
      </c>
      <c r="H128" t="s">
        <v>59</v>
      </c>
      <c r="I128" t="s">
        <v>60</v>
      </c>
      <c r="J128" t="s">
        <v>61</v>
      </c>
      <c r="K128">
        <v>4</v>
      </c>
      <c r="L128">
        <v>540</v>
      </c>
      <c r="M128" s="7">
        <v>0.25</v>
      </c>
      <c r="N128">
        <v>10.38</v>
      </c>
      <c r="O128" t="s">
        <v>71</v>
      </c>
      <c r="P128">
        <f t="shared" si="5"/>
        <v>2025</v>
      </c>
      <c r="Q128" t="str">
        <f t="shared" si="6"/>
        <v>Mar</v>
      </c>
      <c r="R128" s="3">
        <f t="shared" si="7"/>
        <v>1.9222222222222224E-2</v>
      </c>
      <c r="S128" t="str">
        <f t="shared" si="8"/>
        <v>Low</v>
      </c>
      <c r="T128">
        <f t="shared" si="9"/>
        <v>3</v>
      </c>
    </row>
    <row r="129" spans="1:20">
      <c r="A129" t="s">
        <v>329</v>
      </c>
      <c r="B129" s="2">
        <v>46011</v>
      </c>
      <c r="C129" t="s">
        <v>227</v>
      </c>
      <c r="D129" t="s">
        <v>228</v>
      </c>
      <c r="E129" t="s">
        <v>34</v>
      </c>
      <c r="F129" t="s">
        <v>25</v>
      </c>
      <c r="G129" t="s">
        <v>35</v>
      </c>
      <c r="H129" t="s">
        <v>27</v>
      </c>
      <c r="I129" t="s">
        <v>65</v>
      </c>
      <c r="J129" t="s">
        <v>66</v>
      </c>
      <c r="K129">
        <v>3</v>
      </c>
      <c r="L129">
        <v>156750</v>
      </c>
      <c r="M129" s="7">
        <v>0.05</v>
      </c>
      <c r="N129">
        <v>23010.07</v>
      </c>
      <c r="O129" t="s">
        <v>91</v>
      </c>
      <c r="P129">
        <f t="shared" si="5"/>
        <v>2025</v>
      </c>
      <c r="Q129" t="str">
        <f t="shared" si="6"/>
        <v>Dec</v>
      </c>
      <c r="R129" s="3">
        <f t="shared" si="7"/>
        <v>0.14679470494417862</v>
      </c>
      <c r="S129" t="str">
        <f t="shared" si="8"/>
        <v>High</v>
      </c>
      <c r="T129">
        <f t="shared" si="9"/>
        <v>12</v>
      </c>
    </row>
    <row r="130" spans="1:20">
      <c r="A130" t="s">
        <v>330</v>
      </c>
      <c r="B130" s="2">
        <v>45846</v>
      </c>
      <c r="C130" t="s">
        <v>32</v>
      </c>
      <c r="D130" t="s">
        <v>33</v>
      </c>
      <c r="E130" t="s">
        <v>147</v>
      </c>
      <c r="F130" t="s">
        <v>76</v>
      </c>
      <c r="G130" t="s">
        <v>77</v>
      </c>
      <c r="H130" t="s">
        <v>36</v>
      </c>
      <c r="I130" t="s">
        <v>37</v>
      </c>
      <c r="J130" t="s">
        <v>38</v>
      </c>
      <c r="K130">
        <v>5</v>
      </c>
      <c r="L130">
        <v>937.5</v>
      </c>
      <c r="M130" s="7">
        <v>0.25</v>
      </c>
      <c r="N130">
        <v>72.05</v>
      </c>
      <c r="O130" t="s">
        <v>39</v>
      </c>
      <c r="P130">
        <f t="shared" ref="P130:P193" si="10">YEAR(B130)</f>
        <v>2025</v>
      </c>
      <c r="Q130" t="str">
        <f t="shared" ref="Q130:Q193" si="11">TEXT(B130,"mmm")</f>
        <v>Jul</v>
      </c>
      <c r="R130" s="3">
        <f t="shared" ref="R130:R193" si="12">N130/L130</f>
        <v>7.6853333333333329E-2</v>
      </c>
      <c r="S130" t="str">
        <f t="shared" ref="S130:S193" si="13">IF(L130&gt;=30000,"High","Low")</f>
        <v>Low</v>
      </c>
      <c r="T130">
        <f t="shared" ref="T130:T193" si="14">MONTH(B130)</f>
        <v>7</v>
      </c>
    </row>
    <row r="131" spans="1:20">
      <c r="A131" t="s">
        <v>331</v>
      </c>
      <c r="B131" s="2">
        <v>45890</v>
      </c>
      <c r="C131" t="s">
        <v>322</v>
      </c>
      <c r="D131" t="s">
        <v>323</v>
      </c>
      <c r="E131" t="s">
        <v>142</v>
      </c>
      <c r="F131" t="s">
        <v>25</v>
      </c>
      <c r="G131" t="s">
        <v>143</v>
      </c>
      <c r="H131" t="s">
        <v>27</v>
      </c>
      <c r="I131" t="s">
        <v>65</v>
      </c>
      <c r="J131" t="s">
        <v>66</v>
      </c>
      <c r="K131">
        <v>1</v>
      </c>
      <c r="L131">
        <v>8625</v>
      </c>
      <c r="M131" s="7">
        <v>0.25</v>
      </c>
      <c r="N131">
        <v>279.91000000000003</v>
      </c>
      <c r="O131" t="s">
        <v>83</v>
      </c>
      <c r="P131">
        <f t="shared" si="10"/>
        <v>2025</v>
      </c>
      <c r="Q131" t="str">
        <f t="shared" si="11"/>
        <v>Aug</v>
      </c>
      <c r="R131" s="3">
        <f t="shared" si="12"/>
        <v>3.2453333333333334E-2</v>
      </c>
      <c r="S131" t="str">
        <f t="shared" si="13"/>
        <v>Low</v>
      </c>
      <c r="T131">
        <f t="shared" si="14"/>
        <v>8</v>
      </c>
    </row>
    <row r="132" spans="1:20">
      <c r="A132" t="s">
        <v>332</v>
      </c>
      <c r="B132" s="2">
        <v>45828</v>
      </c>
      <c r="C132" t="s">
        <v>333</v>
      </c>
      <c r="D132" t="s">
        <v>334</v>
      </c>
      <c r="E132" t="s">
        <v>114</v>
      </c>
      <c r="F132" t="s">
        <v>57</v>
      </c>
      <c r="G132" t="s">
        <v>58</v>
      </c>
      <c r="H132" t="s">
        <v>59</v>
      </c>
      <c r="I132" t="s">
        <v>60</v>
      </c>
      <c r="J132" t="s">
        <v>61</v>
      </c>
      <c r="K132">
        <v>2</v>
      </c>
      <c r="L132">
        <v>1330</v>
      </c>
      <c r="M132" s="7">
        <v>0.05</v>
      </c>
      <c r="N132">
        <v>299.02</v>
      </c>
      <c r="O132" t="s">
        <v>30</v>
      </c>
      <c r="P132">
        <f t="shared" si="10"/>
        <v>2025</v>
      </c>
      <c r="Q132" t="str">
        <f t="shared" si="11"/>
        <v>Jun</v>
      </c>
      <c r="R132" s="3">
        <f t="shared" si="12"/>
        <v>0.22482706766917293</v>
      </c>
      <c r="S132" t="str">
        <f t="shared" si="13"/>
        <v>Low</v>
      </c>
      <c r="T132">
        <f t="shared" si="14"/>
        <v>6</v>
      </c>
    </row>
    <row r="133" spans="1:20">
      <c r="A133" t="s">
        <v>335</v>
      </c>
      <c r="B133" s="2">
        <v>45768</v>
      </c>
      <c r="C133" t="s">
        <v>106</v>
      </c>
      <c r="D133" t="s">
        <v>107</v>
      </c>
      <c r="E133" t="s">
        <v>75</v>
      </c>
      <c r="F133" t="s">
        <v>76</v>
      </c>
      <c r="G133" t="s">
        <v>77</v>
      </c>
      <c r="H133" t="s">
        <v>59</v>
      </c>
      <c r="I133" t="s">
        <v>81</v>
      </c>
      <c r="J133" t="s">
        <v>82</v>
      </c>
      <c r="K133">
        <v>2</v>
      </c>
      <c r="L133">
        <v>324</v>
      </c>
      <c r="M133" s="7">
        <v>0.1</v>
      </c>
      <c r="N133">
        <v>63.23</v>
      </c>
      <c r="O133" t="s">
        <v>30</v>
      </c>
      <c r="P133">
        <f t="shared" si="10"/>
        <v>2025</v>
      </c>
      <c r="Q133" t="str">
        <f t="shared" si="11"/>
        <v>Apr</v>
      </c>
      <c r="R133" s="3">
        <f t="shared" si="12"/>
        <v>0.19515432098765431</v>
      </c>
      <c r="S133" t="str">
        <f t="shared" si="13"/>
        <v>Low</v>
      </c>
      <c r="T133">
        <f t="shared" si="14"/>
        <v>4</v>
      </c>
    </row>
    <row r="134" spans="1:20">
      <c r="A134" t="s">
        <v>336</v>
      </c>
      <c r="B134" s="2">
        <v>45732</v>
      </c>
      <c r="C134" t="s">
        <v>195</v>
      </c>
      <c r="D134" t="s">
        <v>196</v>
      </c>
      <c r="E134" t="s">
        <v>103</v>
      </c>
      <c r="F134" t="s">
        <v>25</v>
      </c>
      <c r="G134" t="s">
        <v>104</v>
      </c>
      <c r="H134" t="s">
        <v>59</v>
      </c>
      <c r="I134" t="s">
        <v>96</v>
      </c>
      <c r="J134" t="s">
        <v>61</v>
      </c>
      <c r="K134">
        <v>2</v>
      </c>
      <c r="L134">
        <v>44800</v>
      </c>
      <c r="M134" s="7">
        <v>0.2</v>
      </c>
      <c r="N134">
        <v>3646.99</v>
      </c>
      <c r="O134" t="s">
        <v>83</v>
      </c>
      <c r="P134">
        <f t="shared" si="10"/>
        <v>2025</v>
      </c>
      <c r="Q134" t="str">
        <f t="shared" si="11"/>
        <v>Mar</v>
      </c>
      <c r="R134" s="3">
        <f t="shared" si="12"/>
        <v>8.1406026785714278E-2</v>
      </c>
      <c r="S134" t="str">
        <f t="shared" si="13"/>
        <v>High</v>
      </c>
      <c r="T134">
        <f t="shared" si="14"/>
        <v>3</v>
      </c>
    </row>
    <row r="135" spans="1:20">
      <c r="A135" t="s">
        <v>337</v>
      </c>
      <c r="B135" s="2">
        <v>45841</v>
      </c>
      <c r="C135" t="s">
        <v>93</v>
      </c>
      <c r="D135" t="s">
        <v>94</v>
      </c>
      <c r="E135" t="s">
        <v>34</v>
      </c>
      <c r="F135" t="s">
        <v>25</v>
      </c>
      <c r="G135" t="s">
        <v>35</v>
      </c>
      <c r="H135" t="s">
        <v>59</v>
      </c>
      <c r="I135" t="s">
        <v>96</v>
      </c>
      <c r="J135" t="s">
        <v>61</v>
      </c>
      <c r="K135">
        <v>2</v>
      </c>
      <c r="L135">
        <v>88000</v>
      </c>
      <c r="M135" s="7">
        <v>0.2</v>
      </c>
      <c r="N135">
        <v>8451.69</v>
      </c>
      <c r="O135" t="s">
        <v>83</v>
      </c>
      <c r="P135">
        <f t="shared" si="10"/>
        <v>2025</v>
      </c>
      <c r="Q135" t="str">
        <f t="shared" si="11"/>
        <v>Jul</v>
      </c>
      <c r="R135" s="3">
        <f t="shared" si="12"/>
        <v>9.6041931818181825E-2</v>
      </c>
      <c r="S135" t="str">
        <f t="shared" si="13"/>
        <v>High</v>
      </c>
      <c r="T135">
        <f t="shared" si="14"/>
        <v>7</v>
      </c>
    </row>
    <row r="136" spans="1:20">
      <c r="A136" t="s">
        <v>338</v>
      </c>
      <c r="B136" s="2">
        <v>45873</v>
      </c>
      <c r="C136" t="s">
        <v>93</v>
      </c>
      <c r="D136" t="s">
        <v>94</v>
      </c>
      <c r="E136" t="s">
        <v>56</v>
      </c>
      <c r="F136" t="s">
        <v>57</v>
      </c>
      <c r="G136" t="s">
        <v>58</v>
      </c>
      <c r="H136" t="s">
        <v>59</v>
      </c>
      <c r="I136" t="s">
        <v>96</v>
      </c>
      <c r="J136" t="s">
        <v>61</v>
      </c>
      <c r="K136">
        <v>5</v>
      </c>
      <c r="L136">
        <v>8000</v>
      </c>
      <c r="M136" s="7">
        <v>0</v>
      </c>
      <c r="N136">
        <v>1833.06</v>
      </c>
      <c r="O136" t="s">
        <v>91</v>
      </c>
      <c r="P136">
        <f t="shared" si="10"/>
        <v>2025</v>
      </c>
      <c r="Q136" t="str">
        <f t="shared" si="11"/>
        <v>Aug</v>
      </c>
      <c r="R136" s="3">
        <f t="shared" si="12"/>
        <v>0.22913249999999999</v>
      </c>
      <c r="S136" t="str">
        <f t="shared" si="13"/>
        <v>Low</v>
      </c>
      <c r="T136">
        <f t="shared" si="14"/>
        <v>8</v>
      </c>
    </row>
    <row r="137" spans="1:20">
      <c r="A137" t="s">
        <v>339</v>
      </c>
      <c r="B137" s="2">
        <v>45713</v>
      </c>
      <c r="C137" t="s">
        <v>275</v>
      </c>
      <c r="D137" t="s">
        <v>176</v>
      </c>
      <c r="E137" t="s">
        <v>75</v>
      </c>
      <c r="F137" t="s">
        <v>76</v>
      </c>
      <c r="G137" t="s">
        <v>77</v>
      </c>
      <c r="H137" t="s">
        <v>27</v>
      </c>
      <c r="I137" t="s">
        <v>28</v>
      </c>
      <c r="J137" t="s">
        <v>29</v>
      </c>
      <c r="K137">
        <v>4</v>
      </c>
      <c r="L137">
        <v>576</v>
      </c>
      <c r="M137" s="7">
        <v>0.2</v>
      </c>
      <c r="N137">
        <v>30.85</v>
      </c>
      <c r="O137" t="s">
        <v>30</v>
      </c>
      <c r="P137">
        <f t="shared" si="10"/>
        <v>2025</v>
      </c>
      <c r="Q137" t="str">
        <f t="shared" si="11"/>
        <v>Feb</v>
      </c>
      <c r="R137" s="3">
        <f t="shared" si="12"/>
        <v>5.3559027777777782E-2</v>
      </c>
      <c r="S137" t="str">
        <f t="shared" si="13"/>
        <v>Low</v>
      </c>
      <c r="T137">
        <f t="shared" si="14"/>
        <v>2</v>
      </c>
    </row>
    <row r="138" spans="1:20">
      <c r="A138" t="s">
        <v>340</v>
      </c>
      <c r="B138" s="2">
        <v>45987</v>
      </c>
      <c r="C138" t="s">
        <v>98</v>
      </c>
      <c r="D138" t="s">
        <v>99</v>
      </c>
      <c r="E138" t="s">
        <v>87</v>
      </c>
      <c r="F138" t="s">
        <v>44</v>
      </c>
      <c r="G138" t="s">
        <v>88</v>
      </c>
      <c r="H138" t="s">
        <v>36</v>
      </c>
      <c r="I138" t="s">
        <v>89</v>
      </c>
      <c r="J138" t="s">
        <v>90</v>
      </c>
      <c r="K138">
        <v>1</v>
      </c>
      <c r="L138">
        <v>12000</v>
      </c>
      <c r="M138" s="7">
        <v>0</v>
      </c>
      <c r="N138">
        <v>3356.61</v>
      </c>
      <c r="O138" t="s">
        <v>71</v>
      </c>
      <c r="P138">
        <f t="shared" si="10"/>
        <v>2025</v>
      </c>
      <c r="Q138" t="str">
        <f t="shared" si="11"/>
        <v>Nov</v>
      </c>
      <c r="R138" s="3">
        <f t="shared" si="12"/>
        <v>0.27971750000000001</v>
      </c>
      <c r="S138" t="str">
        <f t="shared" si="13"/>
        <v>Low</v>
      </c>
      <c r="T138">
        <f t="shared" si="14"/>
        <v>11</v>
      </c>
    </row>
    <row r="139" spans="1:20">
      <c r="A139" t="s">
        <v>341</v>
      </c>
      <c r="B139" s="2">
        <v>46022</v>
      </c>
      <c r="C139" t="s">
        <v>270</v>
      </c>
      <c r="D139" t="s">
        <v>271</v>
      </c>
      <c r="E139" t="s">
        <v>87</v>
      </c>
      <c r="F139" t="s">
        <v>44</v>
      </c>
      <c r="G139" t="s">
        <v>88</v>
      </c>
      <c r="H139" t="s">
        <v>27</v>
      </c>
      <c r="I139" t="s">
        <v>28</v>
      </c>
      <c r="J139" t="s">
        <v>29</v>
      </c>
      <c r="K139">
        <v>4</v>
      </c>
      <c r="L139">
        <v>48000</v>
      </c>
      <c r="M139" s="7">
        <v>0</v>
      </c>
      <c r="N139">
        <v>12472.96</v>
      </c>
      <c r="O139" t="s">
        <v>39</v>
      </c>
      <c r="P139">
        <f t="shared" si="10"/>
        <v>2025</v>
      </c>
      <c r="Q139" t="str">
        <f t="shared" si="11"/>
        <v>Dec</v>
      </c>
      <c r="R139" s="3">
        <f t="shared" si="12"/>
        <v>0.25985333333333333</v>
      </c>
      <c r="S139" t="str">
        <f t="shared" si="13"/>
        <v>High</v>
      </c>
      <c r="T139">
        <f t="shared" si="14"/>
        <v>12</v>
      </c>
    </row>
    <row r="140" spans="1:20">
      <c r="A140" t="s">
        <v>342</v>
      </c>
      <c r="B140" s="2">
        <v>45798</v>
      </c>
      <c r="C140" t="s">
        <v>249</v>
      </c>
      <c r="D140" t="s">
        <v>250</v>
      </c>
      <c r="E140" t="s">
        <v>24</v>
      </c>
      <c r="F140" t="s">
        <v>25</v>
      </c>
      <c r="G140" t="s">
        <v>26</v>
      </c>
      <c r="H140" t="s">
        <v>59</v>
      </c>
      <c r="I140" t="s">
        <v>96</v>
      </c>
      <c r="J140" t="s">
        <v>61</v>
      </c>
      <c r="K140">
        <v>5</v>
      </c>
      <c r="L140">
        <v>6750</v>
      </c>
      <c r="M140" s="7">
        <v>0.25</v>
      </c>
      <c r="N140">
        <v>692.3</v>
      </c>
      <c r="O140" t="s">
        <v>71</v>
      </c>
      <c r="P140">
        <f t="shared" si="10"/>
        <v>2025</v>
      </c>
      <c r="Q140" t="str">
        <f t="shared" si="11"/>
        <v>May</v>
      </c>
      <c r="R140" s="3">
        <f t="shared" si="12"/>
        <v>0.10256296296296295</v>
      </c>
      <c r="S140" t="str">
        <f t="shared" si="13"/>
        <v>Low</v>
      </c>
      <c r="T140">
        <f t="shared" si="14"/>
        <v>5</v>
      </c>
    </row>
    <row r="141" spans="1:20">
      <c r="A141" t="s">
        <v>343</v>
      </c>
      <c r="B141" s="2">
        <v>45808</v>
      </c>
      <c r="C141" t="s">
        <v>155</v>
      </c>
      <c r="D141" t="s">
        <v>99</v>
      </c>
      <c r="E141" t="s">
        <v>121</v>
      </c>
      <c r="F141" t="s">
        <v>44</v>
      </c>
      <c r="G141" t="s">
        <v>122</v>
      </c>
      <c r="H141" t="s">
        <v>36</v>
      </c>
      <c r="I141" t="s">
        <v>115</v>
      </c>
      <c r="J141" t="s">
        <v>116</v>
      </c>
      <c r="K141">
        <v>4</v>
      </c>
      <c r="L141">
        <v>20800</v>
      </c>
      <c r="M141" s="7">
        <v>0.2</v>
      </c>
      <c r="N141">
        <v>3247.43</v>
      </c>
      <c r="O141" t="s">
        <v>83</v>
      </c>
      <c r="P141">
        <f t="shared" si="10"/>
        <v>2025</v>
      </c>
      <c r="Q141" t="str">
        <f t="shared" si="11"/>
        <v>May</v>
      </c>
      <c r="R141" s="3">
        <f t="shared" si="12"/>
        <v>0.15612644230769229</v>
      </c>
      <c r="S141" t="str">
        <f t="shared" si="13"/>
        <v>Low</v>
      </c>
      <c r="T141">
        <f t="shared" si="14"/>
        <v>5</v>
      </c>
    </row>
    <row r="142" spans="1:20">
      <c r="A142" t="s">
        <v>344</v>
      </c>
      <c r="B142" s="2">
        <v>45768</v>
      </c>
      <c r="C142" t="s">
        <v>273</v>
      </c>
      <c r="D142" t="s">
        <v>212</v>
      </c>
      <c r="E142" t="s">
        <v>56</v>
      </c>
      <c r="F142" t="s">
        <v>57</v>
      </c>
      <c r="G142" t="s">
        <v>58</v>
      </c>
      <c r="H142" t="s">
        <v>59</v>
      </c>
      <c r="I142" t="s">
        <v>81</v>
      </c>
      <c r="J142" t="s">
        <v>82</v>
      </c>
      <c r="K142">
        <v>4</v>
      </c>
      <c r="L142">
        <v>5440</v>
      </c>
      <c r="M142" s="7">
        <v>0.15</v>
      </c>
      <c r="N142">
        <v>1153.83</v>
      </c>
      <c r="O142" t="s">
        <v>71</v>
      </c>
      <c r="P142">
        <f t="shared" si="10"/>
        <v>2025</v>
      </c>
      <c r="Q142" t="str">
        <f t="shared" si="11"/>
        <v>Apr</v>
      </c>
      <c r="R142" s="3">
        <f t="shared" si="12"/>
        <v>0.21210110294117646</v>
      </c>
      <c r="S142" t="str">
        <f t="shared" si="13"/>
        <v>Low</v>
      </c>
      <c r="T142">
        <f t="shared" si="14"/>
        <v>4</v>
      </c>
    </row>
    <row r="143" spans="1:20">
      <c r="A143" t="s">
        <v>345</v>
      </c>
      <c r="B143" s="2">
        <v>45706</v>
      </c>
      <c r="C143" t="s">
        <v>68</v>
      </c>
      <c r="D143" t="s">
        <v>69</v>
      </c>
      <c r="E143" t="s">
        <v>43</v>
      </c>
      <c r="F143" t="s">
        <v>44</v>
      </c>
      <c r="G143" t="s">
        <v>45</v>
      </c>
      <c r="H143" t="s">
        <v>27</v>
      </c>
      <c r="I143" t="s">
        <v>46</v>
      </c>
      <c r="J143" t="s">
        <v>46</v>
      </c>
      <c r="K143">
        <v>3</v>
      </c>
      <c r="L143">
        <v>21675</v>
      </c>
      <c r="M143" s="7">
        <v>0.15</v>
      </c>
      <c r="N143">
        <v>2231.36</v>
      </c>
      <c r="O143" t="s">
        <v>39</v>
      </c>
      <c r="P143">
        <f t="shared" si="10"/>
        <v>2025</v>
      </c>
      <c r="Q143" t="str">
        <f t="shared" si="11"/>
        <v>Feb</v>
      </c>
      <c r="R143" s="3">
        <f t="shared" si="12"/>
        <v>0.10294625144175318</v>
      </c>
      <c r="S143" t="str">
        <f t="shared" si="13"/>
        <v>Low</v>
      </c>
      <c r="T143">
        <f t="shared" si="14"/>
        <v>2</v>
      </c>
    </row>
    <row r="144" spans="1:20">
      <c r="A144" t="s">
        <v>346</v>
      </c>
      <c r="B144" s="2">
        <v>45704</v>
      </c>
      <c r="C144" t="s">
        <v>175</v>
      </c>
      <c r="D144" t="s">
        <v>176</v>
      </c>
      <c r="E144" t="s">
        <v>70</v>
      </c>
      <c r="F144" t="s">
        <v>25</v>
      </c>
      <c r="G144" t="s">
        <v>26</v>
      </c>
      <c r="H144" t="s">
        <v>59</v>
      </c>
      <c r="I144" t="s">
        <v>96</v>
      </c>
      <c r="J144" t="s">
        <v>61</v>
      </c>
      <c r="K144">
        <v>1</v>
      </c>
      <c r="L144">
        <v>1200</v>
      </c>
      <c r="M144" s="7">
        <v>0</v>
      </c>
      <c r="N144">
        <v>199.65</v>
      </c>
      <c r="O144" t="s">
        <v>91</v>
      </c>
      <c r="P144">
        <f t="shared" si="10"/>
        <v>2025</v>
      </c>
      <c r="Q144" t="str">
        <f t="shared" si="11"/>
        <v>Feb</v>
      </c>
      <c r="R144" s="3">
        <f t="shared" si="12"/>
        <v>0.166375</v>
      </c>
      <c r="S144" t="str">
        <f t="shared" si="13"/>
        <v>Low</v>
      </c>
      <c r="T144">
        <f t="shared" si="14"/>
        <v>2</v>
      </c>
    </row>
    <row r="145" spans="1:20">
      <c r="A145" t="s">
        <v>347</v>
      </c>
      <c r="B145" s="2">
        <v>45688</v>
      </c>
      <c r="C145" t="s">
        <v>93</v>
      </c>
      <c r="D145" t="s">
        <v>94</v>
      </c>
      <c r="E145" t="s">
        <v>121</v>
      </c>
      <c r="F145" t="s">
        <v>44</v>
      </c>
      <c r="G145" t="s">
        <v>122</v>
      </c>
      <c r="H145" t="s">
        <v>59</v>
      </c>
      <c r="I145" t="s">
        <v>96</v>
      </c>
      <c r="J145" t="s">
        <v>61</v>
      </c>
      <c r="K145">
        <v>5</v>
      </c>
      <c r="L145">
        <v>26000</v>
      </c>
      <c r="M145" s="7">
        <v>0.2</v>
      </c>
      <c r="N145">
        <v>3089.74</v>
      </c>
      <c r="O145" t="s">
        <v>71</v>
      </c>
      <c r="P145">
        <f t="shared" si="10"/>
        <v>2025</v>
      </c>
      <c r="Q145" t="str">
        <f t="shared" si="11"/>
        <v>Jan</v>
      </c>
      <c r="R145" s="3">
        <f t="shared" si="12"/>
        <v>0.11883615384615384</v>
      </c>
      <c r="S145" t="str">
        <f t="shared" si="13"/>
        <v>Low</v>
      </c>
      <c r="T145">
        <f t="shared" si="14"/>
        <v>1</v>
      </c>
    </row>
    <row r="146" spans="1:20">
      <c r="A146" t="s">
        <v>348</v>
      </c>
      <c r="B146" s="2">
        <v>45998</v>
      </c>
      <c r="C146" t="s">
        <v>124</v>
      </c>
      <c r="D146" t="s">
        <v>125</v>
      </c>
      <c r="E146" t="s">
        <v>142</v>
      </c>
      <c r="F146" t="s">
        <v>25</v>
      </c>
      <c r="G146" t="s">
        <v>143</v>
      </c>
      <c r="H146" t="s">
        <v>127</v>
      </c>
      <c r="I146" t="s">
        <v>128</v>
      </c>
      <c r="J146" t="s">
        <v>129</v>
      </c>
      <c r="K146">
        <v>4</v>
      </c>
      <c r="L146">
        <v>32200</v>
      </c>
      <c r="M146" s="7">
        <v>0.3</v>
      </c>
      <c r="N146">
        <v>6417.79</v>
      </c>
      <c r="O146" t="s">
        <v>91</v>
      </c>
      <c r="P146">
        <f t="shared" si="10"/>
        <v>2025</v>
      </c>
      <c r="Q146" t="str">
        <f t="shared" si="11"/>
        <v>Dec</v>
      </c>
      <c r="R146" s="3">
        <f t="shared" si="12"/>
        <v>0.19931024844720496</v>
      </c>
      <c r="S146" t="str">
        <f t="shared" si="13"/>
        <v>High</v>
      </c>
      <c r="T146">
        <f t="shared" si="14"/>
        <v>12</v>
      </c>
    </row>
    <row r="147" spans="1:20">
      <c r="A147" t="s">
        <v>349</v>
      </c>
      <c r="B147" s="2">
        <v>45838</v>
      </c>
      <c r="C147" t="s">
        <v>155</v>
      </c>
      <c r="D147" t="s">
        <v>99</v>
      </c>
      <c r="E147" t="s">
        <v>103</v>
      </c>
      <c r="F147" t="s">
        <v>25</v>
      </c>
      <c r="G147" t="s">
        <v>104</v>
      </c>
      <c r="H147" t="s">
        <v>36</v>
      </c>
      <c r="I147" t="s">
        <v>115</v>
      </c>
      <c r="J147" t="s">
        <v>116</v>
      </c>
      <c r="K147">
        <v>1</v>
      </c>
      <c r="L147">
        <v>22400</v>
      </c>
      <c r="M147" s="7">
        <v>0.2</v>
      </c>
      <c r="N147">
        <v>2995.91</v>
      </c>
      <c r="O147" t="s">
        <v>71</v>
      </c>
      <c r="P147">
        <f t="shared" si="10"/>
        <v>2025</v>
      </c>
      <c r="Q147" t="str">
        <f t="shared" si="11"/>
        <v>Jun</v>
      </c>
      <c r="R147" s="3">
        <f t="shared" si="12"/>
        <v>0.13374598214285713</v>
      </c>
      <c r="S147" t="str">
        <f t="shared" si="13"/>
        <v>Low</v>
      </c>
      <c r="T147">
        <f t="shared" si="14"/>
        <v>6</v>
      </c>
    </row>
    <row r="148" spans="1:20">
      <c r="A148" t="s">
        <v>350</v>
      </c>
      <c r="B148" s="2">
        <v>45713</v>
      </c>
      <c r="C148" t="s">
        <v>312</v>
      </c>
      <c r="D148" t="s">
        <v>313</v>
      </c>
      <c r="E148" t="s">
        <v>142</v>
      </c>
      <c r="F148" t="s">
        <v>25</v>
      </c>
      <c r="G148" t="s">
        <v>143</v>
      </c>
      <c r="H148" t="s">
        <v>27</v>
      </c>
      <c r="I148" t="s">
        <v>46</v>
      </c>
      <c r="J148" t="s">
        <v>46</v>
      </c>
      <c r="K148">
        <v>3</v>
      </c>
      <c r="L148">
        <v>24150</v>
      </c>
      <c r="M148" s="7">
        <v>0.3</v>
      </c>
      <c r="N148">
        <v>2961.68</v>
      </c>
      <c r="O148" t="s">
        <v>91</v>
      </c>
      <c r="P148">
        <f t="shared" si="10"/>
        <v>2025</v>
      </c>
      <c r="Q148" t="str">
        <f t="shared" si="11"/>
        <v>Feb</v>
      </c>
      <c r="R148" s="3">
        <f t="shared" si="12"/>
        <v>0.12263685300207039</v>
      </c>
      <c r="S148" t="str">
        <f t="shared" si="13"/>
        <v>Low</v>
      </c>
      <c r="T148">
        <f t="shared" si="14"/>
        <v>2</v>
      </c>
    </row>
    <row r="149" spans="1:20">
      <c r="A149" t="s">
        <v>351</v>
      </c>
      <c r="B149" s="2">
        <v>45877</v>
      </c>
      <c r="C149" t="s">
        <v>157</v>
      </c>
      <c r="D149" t="s">
        <v>158</v>
      </c>
      <c r="E149" t="s">
        <v>126</v>
      </c>
      <c r="F149" t="s">
        <v>25</v>
      </c>
      <c r="G149" t="s">
        <v>35</v>
      </c>
      <c r="H149" t="s">
        <v>36</v>
      </c>
      <c r="I149" t="s">
        <v>37</v>
      </c>
      <c r="J149" t="s">
        <v>38</v>
      </c>
      <c r="K149">
        <v>5</v>
      </c>
      <c r="L149">
        <v>50750</v>
      </c>
      <c r="M149" s="7">
        <v>0.3</v>
      </c>
      <c r="N149">
        <v>6986.62</v>
      </c>
      <c r="O149" t="s">
        <v>30</v>
      </c>
      <c r="P149">
        <f t="shared" si="10"/>
        <v>2025</v>
      </c>
      <c r="Q149" t="str">
        <f t="shared" si="11"/>
        <v>Aug</v>
      </c>
      <c r="R149" s="3">
        <f t="shared" si="12"/>
        <v>0.13766738916256158</v>
      </c>
      <c r="S149" t="str">
        <f t="shared" si="13"/>
        <v>High</v>
      </c>
      <c r="T149">
        <f t="shared" si="14"/>
        <v>8</v>
      </c>
    </row>
    <row r="150" spans="1:20">
      <c r="A150" t="s">
        <v>352</v>
      </c>
      <c r="B150" s="2">
        <v>45994</v>
      </c>
      <c r="C150" t="s">
        <v>145</v>
      </c>
      <c r="D150" t="s">
        <v>146</v>
      </c>
      <c r="E150" t="s">
        <v>75</v>
      </c>
      <c r="F150" t="s">
        <v>76</v>
      </c>
      <c r="G150" t="s">
        <v>77</v>
      </c>
      <c r="H150" t="s">
        <v>36</v>
      </c>
      <c r="I150" t="s">
        <v>115</v>
      </c>
      <c r="J150" t="s">
        <v>116</v>
      </c>
      <c r="K150">
        <v>3</v>
      </c>
      <c r="L150">
        <v>540</v>
      </c>
      <c r="M150" s="7">
        <v>0</v>
      </c>
      <c r="N150">
        <v>62.68</v>
      </c>
      <c r="O150" t="s">
        <v>91</v>
      </c>
      <c r="P150">
        <f t="shared" si="10"/>
        <v>2025</v>
      </c>
      <c r="Q150" t="str">
        <f t="shared" si="11"/>
        <v>Dec</v>
      </c>
      <c r="R150" s="3">
        <f t="shared" si="12"/>
        <v>0.11607407407407408</v>
      </c>
      <c r="S150" t="str">
        <f t="shared" si="13"/>
        <v>Low</v>
      </c>
      <c r="T150">
        <f t="shared" si="14"/>
        <v>12</v>
      </c>
    </row>
    <row r="151" spans="1:20">
      <c r="A151" t="s">
        <v>353</v>
      </c>
      <c r="B151" s="2">
        <v>45661</v>
      </c>
      <c r="C151" t="s">
        <v>230</v>
      </c>
      <c r="D151" t="s">
        <v>231</v>
      </c>
      <c r="E151" t="s">
        <v>160</v>
      </c>
      <c r="F151" t="s">
        <v>25</v>
      </c>
      <c r="G151" t="s">
        <v>161</v>
      </c>
      <c r="H151" t="s">
        <v>59</v>
      </c>
      <c r="I151" t="s">
        <v>96</v>
      </c>
      <c r="J151" t="s">
        <v>61</v>
      </c>
      <c r="K151">
        <v>2</v>
      </c>
      <c r="L151">
        <v>4480</v>
      </c>
      <c r="M151" s="7">
        <v>0.3</v>
      </c>
      <c r="N151">
        <v>-2.91</v>
      </c>
      <c r="O151" t="s">
        <v>83</v>
      </c>
      <c r="P151">
        <f t="shared" si="10"/>
        <v>2025</v>
      </c>
      <c r="Q151" t="str">
        <f t="shared" si="11"/>
        <v>Jan</v>
      </c>
      <c r="R151" s="3">
        <f t="shared" si="12"/>
        <v>-6.4955357142857143E-4</v>
      </c>
      <c r="S151" t="str">
        <f t="shared" si="13"/>
        <v>Low</v>
      </c>
      <c r="T151">
        <f t="shared" si="14"/>
        <v>1</v>
      </c>
    </row>
    <row r="152" spans="1:20">
      <c r="A152" t="s">
        <v>354</v>
      </c>
      <c r="B152" s="2">
        <v>45982</v>
      </c>
      <c r="C152" t="s">
        <v>355</v>
      </c>
      <c r="D152" t="s">
        <v>356</v>
      </c>
      <c r="E152" t="s">
        <v>56</v>
      </c>
      <c r="F152" t="s">
        <v>57</v>
      </c>
      <c r="G152" t="s">
        <v>58</v>
      </c>
      <c r="H152" t="s">
        <v>36</v>
      </c>
      <c r="I152" t="s">
        <v>115</v>
      </c>
      <c r="J152" t="s">
        <v>116</v>
      </c>
      <c r="K152">
        <v>1</v>
      </c>
      <c r="L152">
        <v>1600</v>
      </c>
      <c r="M152" s="7">
        <v>0</v>
      </c>
      <c r="N152">
        <v>366.76</v>
      </c>
      <c r="O152" t="s">
        <v>71</v>
      </c>
      <c r="P152">
        <f t="shared" si="10"/>
        <v>2025</v>
      </c>
      <c r="Q152" t="str">
        <f t="shared" si="11"/>
        <v>Nov</v>
      </c>
      <c r="R152" s="3">
        <f t="shared" si="12"/>
        <v>0.22922499999999998</v>
      </c>
      <c r="S152" t="str">
        <f t="shared" si="13"/>
        <v>Low</v>
      </c>
      <c r="T152">
        <f t="shared" si="14"/>
        <v>11</v>
      </c>
    </row>
    <row r="153" spans="1:20">
      <c r="A153" t="s">
        <v>357</v>
      </c>
      <c r="B153" s="2">
        <v>45738</v>
      </c>
      <c r="C153" t="s">
        <v>181</v>
      </c>
      <c r="D153" t="s">
        <v>182</v>
      </c>
      <c r="E153" t="s">
        <v>160</v>
      </c>
      <c r="F153" t="s">
        <v>25</v>
      </c>
      <c r="G153" t="s">
        <v>161</v>
      </c>
      <c r="H153" t="s">
        <v>59</v>
      </c>
      <c r="I153" t="s">
        <v>81</v>
      </c>
      <c r="J153" t="s">
        <v>82</v>
      </c>
      <c r="K153">
        <v>3</v>
      </c>
      <c r="L153">
        <v>8640</v>
      </c>
      <c r="M153" s="7">
        <v>0.1</v>
      </c>
      <c r="N153">
        <v>1597.52</v>
      </c>
      <c r="O153" t="s">
        <v>30</v>
      </c>
      <c r="P153">
        <f t="shared" si="10"/>
        <v>2025</v>
      </c>
      <c r="Q153" t="str">
        <f t="shared" si="11"/>
        <v>Mar</v>
      </c>
      <c r="R153" s="3">
        <f t="shared" si="12"/>
        <v>0.18489814814814814</v>
      </c>
      <c r="S153" t="str">
        <f t="shared" si="13"/>
        <v>Low</v>
      </c>
      <c r="T153">
        <f t="shared" si="14"/>
        <v>3</v>
      </c>
    </row>
    <row r="154" spans="1:20">
      <c r="A154" t="s">
        <v>358</v>
      </c>
      <c r="B154" s="2">
        <v>45684</v>
      </c>
      <c r="C154" t="s">
        <v>155</v>
      </c>
      <c r="D154" t="s">
        <v>99</v>
      </c>
      <c r="E154" t="s">
        <v>70</v>
      </c>
      <c r="F154" t="s">
        <v>25</v>
      </c>
      <c r="G154" t="s">
        <v>26</v>
      </c>
      <c r="H154" t="s">
        <v>36</v>
      </c>
      <c r="I154" t="s">
        <v>115</v>
      </c>
      <c r="J154" t="s">
        <v>116</v>
      </c>
      <c r="K154">
        <v>2</v>
      </c>
      <c r="L154">
        <v>2280</v>
      </c>
      <c r="M154" s="7">
        <v>0.05</v>
      </c>
      <c r="N154">
        <v>502.2</v>
      </c>
      <c r="O154" t="s">
        <v>83</v>
      </c>
      <c r="P154">
        <f t="shared" si="10"/>
        <v>2025</v>
      </c>
      <c r="Q154" t="str">
        <f t="shared" si="11"/>
        <v>Jan</v>
      </c>
      <c r="R154" s="3">
        <f t="shared" si="12"/>
        <v>0.22026315789473683</v>
      </c>
      <c r="S154" t="str">
        <f t="shared" si="13"/>
        <v>Low</v>
      </c>
      <c r="T154">
        <f t="shared" si="14"/>
        <v>1</v>
      </c>
    </row>
    <row r="155" spans="1:20">
      <c r="A155" t="s">
        <v>359</v>
      </c>
      <c r="B155" s="2">
        <v>45996</v>
      </c>
      <c r="C155" t="s">
        <v>137</v>
      </c>
      <c r="D155" t="s">
        <v>138</v>
      </c>
      <c r="E155" t="s">
        <v>87</v>
      </c>
      <c r="F155" t="s">
        <v>44</v>
      </c>
      <c r="G155" t="s">
        <v>88</v>
      </c>
      <c r="H155" t="s">
        <v>27</v>
      </c>
      <c r="I155" t="s">
        <v>28</v>
      </c>
      <c r="J155" t="s">
        <v>29</v>
      </c>
      <c r="K155">
        <v>4</v>
      </c>
      <c r="L155">
        <v>40800</v>
      </c>
      <c r="M155" s="7">
        <v>0.15</v>
      </c>
      <c r="N155">
        <v>6360.04</v>
      </c>
      <c r="O155" t="s">
        <v>39</v>
      </c>
      <c r="P155">
        <f t="shared" si="10"/>
        <v>2025</v>
      </c>
      <c r="Q155" t="str">
        <f t="shared" si="11"/>
        <v>Dec</v>
      </c>
      <c r="R155" s="3">
        <f t="shared" si="12"/>
        <v>0.15588333333333335</v>
      </c>
      <c r="S155" t="str">
        <f t="shared" si="13"/>
        <v>High</v>
      </c>
      <c r="T155">
        <f t="shared" si="14"/>
        <v>12</v>
      </c>
    </row>
    <row r="156" spans="1:20">
      <c r="A156" t="s">
        <v>360</v>
      </c>
      <c r="B156" s="2">
        <v>45834</v>
      </c>
      <c r="C156" t="s">
        <v>275</v>
      </c>
      <c r="D156" t="s">
        <v>176</v>
      </c>
      <c r="E156" t="s">
        <v>70</v>
      </c>
      <c r="F156" t="s">
        <v>25</v>
      </c>
      <c r="G156" t="s">
        <v>26</v>
      </c>
      <c r="H156" t="s">
        <v>27</v>
      </c>
      <c r="I156" t="s">
        <v>28</v>
      </c>
      <c r="J156" t="s">
        <v>29</v>
      </c>
      <c r="K156">
        <v>4</v>
      </c>
      <c r="L156">
        <v>4800</v>
      </c>
      <c r="M156" s="7">
        <v>0</v>
      </c>
      <c r="N156">
        <v>655.92</v>
      </c>
      <c r="O156" t="s">
        <v>71</v>
      </c>
      <c r="P156">
        <f t="shared" si="10"/>
        <v>2025</v>
      </c>
      <c r="Q156" t="str">
        <f t="shared" si="11"/>
        <v>Jun</v>
      </c>
      <c r="R156" s="3">
        <f t="shared" si="12"/>
        <v>0.13664999999999999</v>
      </c>
      <c r="S156" t="str">
        <f t="shared" si="13"/>
        <v>Low</v>
      </c>
      <c r="T156">
        <f t="shared" si="14"/>
        <v>6</v>
      </c>
    </row>
    <row r="157" spans="1:20">
      <c r="A157" t="s">
        <v>361</v>
      </c>
      <c r="B157" s="2">
        <v>45815</v>
      </c>
      <c r="C157" t="s">
        <v>242</v>
      </c>
      <c r="D157" t="s">
        <v>23</v>
      </c>
      <c r="E157" t="s">
        <v>147</v>
      </c>
      <c r="F157" t="s">
        <v>76</v>
      </c>
      <c r="G157" t="s">
        <v>77</v>
      </c>
      <c r="H157" t="s">
        <v>36</v>
      </c>
      <c r="I157" t="s">
        <v>37</v>
      </c>
      <c r="J157" t="s">
        <v>38</v>
      </c>
      <c r="K157">
        <v>1</v>
      </c>
      <c r="L157">
        <v>237.5</v>
      </c>
      <c r="M157" s="7">
        <v>0.05</v>
      </c>
      <c r="N157">
        <v>33.619999999999997</v>
      </c>
      <c r="O157" t="s">
        <v>83</v>
      </c>
      <c r="P157">
        <f t="shared" si="10"/>
        <v>2025</v>
      </c>
      <c r="Q157" t="str">
        <f t="shared" si="11"/>
        <v>Jun</v>
      </c>
      <c r="R157" s="3">
        <f t="shared" si="12"/>
        <v>0.1415578947368421</v>
      </c>
      <c r="S157" t="str">
        <f t="shared" si="13"/>
        <v>Low</v>
      </c>
      <c r="T157">
        <f t="shared" si="14"/>
        <v>6</v>
      </c>
    </row>
    <row r="158" spans="1:20">
      <c r="A158" t="s">
        <v>362</v>
      </c>
      <c r="B158" s="2">
        <v>45766</v>
      </c>
      <c r="C158" t="s">
        <v>106</v>
      </c>
      <c r="D158" t="s">
        <v>107</v>
      </c>
      <c r="E158" t="s">
        <v>103</v>
      </c>
      <c r="F158" t="s">
        <v>25</v>
      </c>
      <c r="G158" t="s">
        <v>104</v>
      </c>
      <c r="H158" t="s">
        <v>59</v>
      </c>
      <c r="I158" t="s">
        <v>81</v>
      </c>
      <c r="J158" t="s">
        <v>82</v>
      </c>
      <c r="K158">
        <v>2</v>
      </c>
      <c r="L158">
        <v>39200</v>
      </c>
      <c r="M158" s="7">
        <v>0.3</v>
      </c>
      <c r="N158">
        <v>1822.59</v>
      </c>
      <c r="O158" t="s">
        <v>83</v>
      </c>
      <c r="P158">
        <f t="shared" si="10"/>
        <v>2025</v>
      </c>
      <c r="Q158" t="str">
        <f t="shared" si="11"/>
        <v>Apr</v>
      </c>
      <c r="R158" s="3">
        <f t="shared" si="12"/>
        <v>4.6494642857142852E-2</v>
      </c>
      <c r="S158" t="str">
        <f t="shared" si="13"/>
        <v>High</v>
      </c>
      <c r="T158">
        <f t="shared" si="14"/>
        <v>4</v>
      </c>
    </row>
    <row r="159" spans="1:20">
      <c r="A159" t="s">
        <v>363</v>
      </c>
      <c r="B159" s="2">
        <v>45878</v>
      </c>
      <c r="C159" t="s">
        <v>178</v>
      </c>
      <c r="D159" t="s">
        <v>86</v>
      </c>
      <c r="E159" t="s">
        <v>56</v>
      </c>
      <c r="F159" t="s">
        <v>57</v>
      </c>
      <c r="G159" t="s">
        <v>58</v>
      </c>
      <c r="H159" t="s">
        <v>36</v>
      </c>
      <c r="I159" t="s">
        <v>37</v>
      </c>
      <c r="J159" t="s">
        <v>38</v>
      </c>
      <c r="K159">
        <v>2</v>
      </c>
      <c r="L159">
        <v>3040</v>
      </c>
      <c r="M159" s="7">
        <v>0.05</v>
      </c>
      <c r="N159">
        <v>417.23</v>
      </c>
      <c r="O159" t="s">
        <v>30</v>
      </c>
      <c r="P159">
        <f t="shared" si="10"/>
        <v>2025</v>
      </c>
      <c r="Q159" t="str">
        <f t="shared" si="11"/>
        <v>Aug</v>
      </c>
      <c r="R159" s="3">
        <f t="shared" si="12"/>
        <v>0.13724671052631579</v>
      </c>
      <c r="S159" t="str">
        <f t="shared" si="13"/>
        <v>Low</v>
      </c>
      <c r="T159">
        <f t="shared" si="14"/>
        <v>8</v>
      </c>
    </row>
    <row r="160" spans="1:20">
      <c r="A160" t="s">
        <v>364</v>
      </c>
      <c r="B160" s="2">
        <v>46000</v>
      </c>
      <c r="C160" t="s">
        <v>118</v>
      </c>
      <c r="D160" t="s">
        <v>119</v>
      </c>
      <c r="E160" t="s">
        <v>142</v>
      </c>
      <c r="F160" t="s">
        <v>25</v>
      </c>
      <c r="G160" t="s">
        <v>143</v>
      </c>
      <c r="H160" t="s">
        <v>27</v>
      </c>
      <c r="I160" t="s">
        <v>28</v>
      </c>
      <c r="J160" t="s">
        <v>29</v>
      </c>
      <c r="K160">
        <v>3</v>
      </c>
      <c r="L160">
        <v>34500</v>
      </c>
      <c r="M160" s="7">
        <v>0</v>
      </c>
      <c r="N160">
        <v>5499.79</v>
      </c>
      <c r="O160" t="s">
        <v>71</v>
      </c>
      <c r="P160">
        <f t="shared" si="10"/>
        <v>2025</v>
      </c>
      <c r="Q160" t="str">
        <f t="shared" si="11"/>
        <v>Dec</v>
      </c>
      <c r="R160" s="3">
        <f t="shared" si="12"/>
        <v>0.15941420289855071</v>
      </c>
      <c r="S160" t="str">
        <f t="shared" si="13"/>
        <v>High</v>
      </c>
      <c r="T160">
        <f t="shared" si="14"/>
        <v>12</v>
      </c>
    </row>
    <row r="161" spans="1:20">
      <c r="A161" t="s">
        <v>365</v>
      </c>
      <c r="B161" s="2">
        <v>45697</v>
      </c>
      <c r="C161" t="s">
        <v>309</v>
      </c>
      <c r="D161" t="s">
        <v>231</v>
      </c>
      <c r="E161" t="s">
        <v>87</v>
      </c>
      <c r="F161" t="s">
        <v>44</v>
      </c>
      <c r="G161" t="s">
        <v>88</v>
      </c>
      <c r="H161" t="s">
        <v>36</v>
      </c>
      <c r="I161" t="s">
        <v>37</v>
      </c>
      <c r="J161" t="s">
        <v>38</v>
      </c>
      <c r="K161">
        <v>3</v>
      </c>
      <c r="L161">
        <v>28800</v>
      </c>
      <c r="M161" s="7">
        <v>0.2</v>
      </c>
      <c r="N161">
        <v>3042.31</v>
      </c>
      <c r="O161" t="s">
        <v>71</v>
      </c>
      <c r="P161">
        <f t="shared" si="10"/>
        <v>2025</v>
      </c>
      <c r="Q161" t="str">
        <f t="shared" si="11"/>
        <v>Feb</v>
      </c>
      <c r="R161" s="3">
        <f t="shared" si="12"/>
        <v>0.10563576388888889</v>
      </c>
      <c r="S161" t="str">
        <f t="shared" si="13"/>
        <v>Low</v>
      </c>
      <c r="T161">
        <f t="shared" si="14"/>
        <v>2</v>
      </c>
    </row>
    <row r="162" spans="1:20">
      <c r="A162" t="s">
        <v>366</v>
      </c>
      <c r="B162" s="2">
        <v>45865</v>
      </c>
      <c r="C162" t="s">
        <v>245</v>
      </c>
      <c r="D162" t="s">
        <v>52</v>
      </c>
      <c r="E162" t="s">
        <v>70</v>
      </c>
      <c r="F162" t="s">
        <v>25</v>
      </c>
      <c r="G162" t="s">
        <v>26</v>
      </c>
      <c r="H162" t="s">
        <v>36</v>
      </c>
      <c r="I162" t="s">
        <v>37</v>
      </c>
      <c r="J162" t="s">
        <v>38</v>
      </c>
      <c r="K162">
        <v>1</v>
      </c>
      <c r="L162">
        <v>1080</v>
      </c>
      <c r="M162" s="7">
        <v>0.1</v>
      </c>
      <c r="N162">
        <v>76.34</v>
      </c>
      <c r="O162" t="s">
        <v>71</v>
      </c>
      <c r="P162">
        <f t="shared" si="10"/>
        <v>2025</v>
      </c>
      <c r="Q162" t="str">
        <f t="shared" si="11"/>
        <v>Jul</v>
      </c>
      <c r="R162" s="3">
        <f t="shared" si="12"/>
        <v>7.0685185185185184E-2</v>
      </c>
      <c r="S162" t="str">
        <f t="shared" si="13"/>
        <v>Low</v>
      </c>
      <c r="T162">
        <f t="shared" si="14"/>
        <v>7</v>
      </c>
    </row>
    <row r="163" spans="1:20">
      <c r="A163" t="s">
        <v>367</v>
      </c>
      <c r="B163" s="2">
        <v>45881</v>
      </c>
      <c r="C163" t="s">
        <v>317</v>
      </c>
      <c r="D163" t="s">
        <v>318</v>
      </c>
      <c r="E163" t="s">
        <v>70</v>
      </c>
      <c r="F163" t="s">
        <v>25</v>
      </c>
      <c r="G163" t="s">
        <v>26</v>
      </c>
      <c r="H163" t="s">
        <v>59</v>
      </c>
      <c r="I163" t="s">
        <v>81</v>
      </c>
      <c r="J163" t="s">
        <v>82</v>
      </c>
      <c r="K163">
        <v>1</v>
      </c>
      <c r="L163">
        <v>1140</v>
      </c>
      <c r="M163" s="7">
        <v>0.05</v>
      </c>
      <c r="N163">
        <v>173.43</v>
      </c>
      <c r="O163" t="s">
        <v>83</v>
      </c>
      <c r="P163">
        <f t="shared" si="10"/>
        <v>2025</v>
      </c>
      <c r="Q163" t="str">
        <f t="shared" si="11"/>
        <v>Aug</v>
      </c>
      <c r="R163" s="3">
        <f t="shared" si="12"/>
        <v>0.15213157894736842</v>
      </c>
      <c r="S163" t="str">
        <f t="shared" si="13"/>
        <v>Low</v>
      </c>
      <c r="T163">
        <f t="shared" si="14"/>
        <v>8</v>
      </c>
    </row>
    <row r="164" spans="1:20">
      <c r="A164" t="s">
        <v>368</v>
      </c>
      <c r="B164" s="2">
        <v>45816</v>
      </c>
      <c r="C164" t="s">
        <v>215</v>
      </c>
      <c r="D164" t="s">
        <v>216</v>
      </c>
      <c r="E164" t="s">
        <v>142</v>
      </c>
      <c r="F164" t="s">
        <v>25</v>
      </c>
      <c r="G164" t="s">
        <v>143</v>
      </c>
      <c r="H164" t="s">
        <v>59</v>
      </c>
      <c r="I164" t="s">
        <v>81</v>
      </c>
      <c r="J164" t="s">
        <v>82</v>
      </c>
      <c r="K164">
        <v>3</v>
      </c>
      <c r="L164">
        <v>32775</v>
      </c>
      <c r="M164" s="7">
        <v>0.05</v>
      </c>
      <c r="N164">
        <v>4408.63</v>
      </c>
      <c r="O164" t="s">
        <v>30</v>
      </c>
      <c r="P164">
        <f t="shared" si="10"/>
        <v>2025</v>
      </c>
      <c r="Q164" t="str">
        <f t="shared" si="11"/>
        <v>Jun</v>
      </c>
      <c r="R164" s="3">
        <f t="shared" si="12"/>
        <v>0.1345119755911518</v>
      </c>
      <c r="S164" t="str">
        <f t="shared" si="13"/>
        <v>High</v>
      </c>
      <c r="T164">
        <f t="shared" si="14"/>
        <v>6</v>
      </c>
    </row>
    <row r="165" spans="1:20">
      <c r="A165" t="s">
        <v>369</v>
      </c>
      <c r="B165" s="2">
        <v>45919</v>
      </c>
      <c r="C165" t="s">
        <v>152</v>
      </c>
      <c r="D165" t="s">
        <v>153</v>
      </c>
      <c r="E165" t="s">
        <v>121</v>
      </c>
      <c r="F165" t="s">
        <v>44</v>
      </c>
      <c r="G165" t="s">
        <v>122</v>
      </c>
      <c r="H165" t="s">
        <v>127</v>
      </c>
      <c r="I165" t="s">
        <v>128</v>
      </c>
      <c r="J165" t="s">
        <v>129</v>
      </c>
      <c r="K165">
        <v>2</v>
      </c>
      <c r="L165">
        <v>9100</v>
      </c>
      <c r="M165" s="7">
        <v>0.3</v>
      </c>
      <c r="N165">
        <v>321.43</v>
      </c>
      <c r="O165" t="s">
        <v>39</v>
      </c>
      <c r="P165">
        <f t="shared" si="10"/>
        <v>2025</v>
      </c>
      <c r="Q165" t="str">
        <f t="shared" si="11"/>
        <v>Sep</v>
      </c>
      <c r="R165" s="3">
        <f t="shared" si="12"/>
        <v>3.5321978021978021E-2</v>
      </c>
      <c r="S165" t="str">
        <f t="shared" si="13"/>
        <v>Low</v>
      </c>
      <c r="T165">
        <f t="shared" si="14"/>
        <v>9</v>
      </c>
    </row>
    <row r="166" spans="1:20">
      <c r="A166" t="s">
        <v>370</v>
      </c>
      <c r="B166" s="2">
        <v>45732</v>
      </c>
      <c r="C166" t="s">
        <v>172</v>
      </c>
      <c r="D166" t="s">
        <v>173</v>
      </c>
      <c r="E166" t="s">
        <v>70</v>
      </c>
      <c r="F166" t="s">
        <v>25</v>
      </c>
      <c r="G166" t="s">
        <v>26</v>
      </c>
      <c r="H166" t="s">
        <v>27</v>
      </c>
      <c r="I166" t="s">
        <v>46</v>
      </c>
      <c r="J166" t="s">
        <v>46</v>
      </c>
      <c r="K166">
        <v>3</v>
      </c>
      <c r="L166">
        <v>3420</v>
      </c>
      <c r="M166" s="7">
        <v>0.05</v>
      </c>
      <c r="N166">
        <v>351.54</v>
      </c>
      <c r="O166" t="s">
        <v>83</v>
      </c>
      <c r="P166">
        <f t="shared" si="10"/>
        <v>2025</v>
      </c>
      <c r="Q166" t="str">
        <f t="shared" si="11"/>
        <v>Mar</v>
      </c>
      <c r="R166" s="3">
        <f t="shared" si="12"/>
        <v>0.10278947368421053</v>
      </c>
      <c r="S166" t="str">
        <f t="shared" si="13"/>
        <v>Low</v>
      </c>
      <c r="T166">
        <f t="shared" si="14"/>
        <v>3</v>
      </c>
    </row>
    <row r="167" spans="1:20">
      <c r="A167" t="s">
        <v>371</v>
      </c>
      <c r="B167" s="2">
        <v>45979</v>
      </c>
      <c r="C167" t="s">
        <v>372</v>
      </c>
      <c r="D167" t="s">
        <v>373</v>
      </c>
      <c r="E167" t="s">
        <v>114</v>
      </c>
      <c r="F167" t="s">
        <v>57</v>
      </c>
      <c r="G167" t="s">
        <v>58</v>
      </c>
      <c r="H167" t="s">
        <v>27</v>
      </c>
      <c r="I167" t="s">
        <v>46</v>
      </c>
      <c r="J167" t="s">
        <v>46</v>
      </c>
      <c r="K167">
        <v>4</v>
      </c>
      <c r="L167">
        <v>2380</v>
      </c>
      <c r="M167" s="7">
        <v>0.15</v>
      </c>
      <c r="N167">
        <v>410.3</v>
      </c>
      <c r="O167" t="s">
        <v>71</v>
      </c>
      <c r="P167">
        <f t="shared" si="10"/>
        <v>2025</v>
      </c>
      <c r="Q167" t="str">
        <f t="shared" si="11"/>
        <v>Nov</v>
      </c>
      <c r="R167" s="3">
        <f t="shared" si="12"/>
        <v>0.17239495798319329</v>
      </c>
      <c r="S167" t="str">
        <f t="shared" si="13"/>
        <v>Low</v>
      </c>
      <c r="T167">
        <f t="shared" si="14"/>
        <v>11</v>
      </c>
    </row>
    <row r="168" spans="1:20">
      <c r="A168" t="s">
        <v>374</v>
      </c>
      <c r="B168" s="2">
        <v>45983</v>
      </c>
      <c r="C168" t="s">
        <v>211</v>
      </c>
      <c r="D168" t="s">
        <v>212</v>
      </c>
      <c r="E168" t="s">
        <v>147</v>
      </c>
      <c r="F168" t="s">
        <v>76</v>
      </c>
      <c r="G168" t="s">
        <v>77</v>
      </c>
      <c r="H168" t="s">
        <v>127</v>
      </c>
      <c r="I168" t="s">
        <v>128</v>
      </c>
      <c r="J168" t="s">
        <v>129</v>
      </c>
      <c r="K168">
        <v>5</v>
      </c>
      <c r="L168">
        <v>1125</v>
      </c>
      <c r="M168" s="7">
        <v>0.1</v>
      </c>
      <c r="N168">
        <v>244.32</v>
      </c>
      <c r="O168" t="s">
        <v>39</v>
      </c>
      <c r="P168">
        <f t="shared" si="10"/>
        <v>2025</v>
      </c>
      <c r="Q168" t="str">
        <f t="shared" si="11"/>
        <v>Nov</v>
      </c>
      <c r="R168" s="3">
        <f t="shared" si="12"/>
        <v>0.21717333333333333</v>
      </c>
      <c r="S168" t="str">
        <f t="shared" si="13"/>
        <v>Low</v>
      </c>
      <c r="T168">
        <f t="shared" si="14"/>
        <v>11</v>
      </c>
    </row>
    <row r="169" spans="1:20">
      <c r="A169" t="s">
        <v>375</v>
      </c>
      <c r="B169" s="2">
        <v>45898</v>
      </c>
      <c r="C169" t="s">
        <v>262</v>
      </c>
      <c r="D169" t="s">
        <v>94</v>
      </c>
      <c r="E169" t="s">
        <v>70</v>
      </c>
      <c r="F169" t="s">
        <v>25</v>
      </c>
      <c r="G169" t="s">
        <v>26</v>
      </c>
      <c r="H169" t="s">
        <v>36</v>
      </c>
      <c r="I169" t="s">
        <v>89</v>
      </c>
      <c r="J169" t="s">
        <v>90</v>
      </c>
      <c r="K169">
        <v>4</v>
      </c>
      <c r="L169">
        <v>3600</v>
      </c>
      <c r="M169" s="7">
        <v>0.25</v>
      </c>
      <c r="N169">
        <v>264.23</v>
      </c>
      <c r="O169" t="s">
        <v>83</v>
      </c>
      <c r="P169">
        <f t="shared" si="10"/>
        <v>2025</v>
      </c>
      <c r="Q169" t="str">
        <f t="shared" si="11"/>
        <v>Aug</v>
      </c>
      <c r="R169" s="3">
        <f t="shared" si="12"/>
        <v>7.3397222222222225E-2</v>
      </c>
      <c r="S169" t="str">
        <f t="shared" si="13"/>
        <v>Low</v>
      </c>
      <c r="T169">
        <f t="shared" si="14"/>
        <v>8</v>
      </c>
    </row>
    <row r="170" spans="1:20">
      <c r="A170" t="s">
        <v>376</v>
      </c>
      <c r="B170" s="2">
        <v>45695</v>
      </c>
      <c r="C170" t="s">
        <v>124</v>
      </c>
      <c r="D170" t="s">
        <v>125</v>
      </c>
      <c r="E170" t="s">
        <v>121</v>
      </c>
      <c r="F170" t="s">
        <v>44</v>
      </c>
      <c r="G170" t="s">
        <v>122</v>
      </c>
      <c r="H170" t="s">
        <v>127</v>
      </c>
      <c r="I170" t="s">
        <v>128</v>
      </c>
      <c r="J170" t="s">
        <v>129</v>
      </c>
      <c r="K170">
        <v>3</v>
      </c>
      <c r="L170">
        <v>16575</v>
      </c>
      <c r="M170" s="7">
        <v>0.15</v>
      </c>
      <c r="N170">
        <v>2291.48</v>
      </c>
      <c r="O170" t="s">
        <v>91</v>
      </c>
      <c r="P170">
        <f t="shared" si="10"/>
        <v>2025</v>
      </c>
      <c r="Q170" t="str">
        <f t="shared" si="11"/>
        <v>Feb</v>
      </c>
      <c r="R170" s="3">
        <f t="shared" si="12"/>
        <v>0.13824917043740573</v>
      </c>
      <c r="S170" t="str">
        <f t="shared" si="13"/>
        <v>Low</v>
      </c>
      <c r="T170">
        <f t="shared" si="14"/>
        <v>2</v>
      </c>
    </row>
    <row r="171" spans="1:20">
      <c r="A171" t="s">
        <v>377</v>
      </c>
      <c r="B171" s="2">
        <v>45704</v>
      </c>
      <c r="C171" t="s">
        <v>259</v>
      </c>
      <c r="D171" t="s">
        <v>260</v>
      </c>
      <c r="E171" t="s">
        <v>147</v>
      </c>
      <c r="F171" t="s">
        <v>76</v>
      </c>
      <c r="G171" t="s">
        <v>77</v>
      </c>
      <c r="H171" t="s">
        <v>27</v>
      </c>
      <c r="I171" t="s">
        <v>65</v>
      </c>
      <c r="J171" t="s">
        <v>66</v>
      </c>
      <c r="K171">
        <v>5</v>
      </c>
      <c r="L171">
        <v>1000</v>
      </c>
      <c r="M171" s="7">
        <v>0.2</v>
      </c>
      <c r="N171">
        <v>118.28</v>
      </c>
      <c r="O171" t="s">
        <v>30</v>
      </c>
      <c r="P171">
        <f t="shared" si="10"/>
        <v>2025</v>
      </c>
      <c r="Q171" t="str">
        <f t="shared" si="11"/>
        <v>Feb</v>
      </c>
      <c r="R171" s="3">
        <f t="shared" si="12"/>
        <v>0.11828</v>
      </c>
      <c r="S171" t="str">
        <f t="shared" si="13"/>
        <v>Low</v>
      </c>
      <c r="T171">
        <f t="shared" si="14"/>
        <v>2</v>
      </c>
    </row>
    <row r="172" spans="1:20">
      <c r="A172" t="s">
        <v>378</v>
      </c>
      <c r="B172" s="2">
        <v>45950</v>
      </c>
      <c r="C172" t="s">
        <v>292</v>
      </c>
      <c r="D172" t="s">
        <v>293</v>
      </c>
      <c r="E172" t="s">
        <v>87</v>
      </c>
      <c r="F172" t="s">
        <v>44</v>
      </c>
      <c r="G172" t="s">
        <v>88</v>
      </c>
      <c r="H172" t="s">
        <v>27</v>
      </c>
      <c r="I172" t="s">
        <v>28</v>
      </c>
      <c r="J172" t="s">
        <v>29</v>
      </c>
      <c r="K172">
        <v>2</v>
      </c>
      <c r="L172">
        <v>21600</v>
      </c>
      <c r="M172" s="7">
        <v>0.1</v>
      </c>
      <c r="N172">
        <v>3638.89</v>
      </c>
      <c r="O172" t="s">
        <v>83</v>
      </c>
      <c r="P172">
        <f t="shared" si="10"/>
        <v>2025</v>
      </c>
      <c r="Q172" t="str">
        <f t="shared" si="11"/>
        <v>Oct</v>
      </c>
      <c r="R172" s="3">
        <f t="shared" si="12"/>
        <v>0.16846712962962962</v>
      </c>
      <c r="S172" t="str">
        <f t="shared" si="13"/>
        <v>Low</v>
      </c>
      <c r="T172">
        <f t="shared" si="14"/>
        <v>10</v>
      </c>
    </row>
    <row r="173" spans="1:20">
      <c r="A173" t="s">
        <v>379</v>
      </c>
      <c r="B173" s="2">
        <v>45833</v>
      </c>
      <c r="C173" t="s">
        <v>235</v>
      </c>
      <c r="D173" t="s">
        <v>236</v>
      </c>
      <c r="E173" t="s">
        <v>70</v>
      </c>
      <c r="F173" t="s">
        <v>25</v>
      </c>
      <c r="G173" t="s">
        <v>26</v>
      </c>
      <c r="H173" t="s">
        <v>59</v>
      </c>
      <c r="I173" t="s">
        <v>81</v>
      </c>
      <c r="J173" t="s">
        <v>82</v>
      </c>
      <c r="K173">
        <v>1</v>
      </c>
      <c r="L173">
        <v>960</v>
      </c>
      <c r="M173" s="7">
        <v>0.2</v>
      </c>
      <c r="N173">
        <v>160.58000000000001</v>
      </c>
      <c r="O173" t="s">
        <v>71</v>
      </c>
      <c r="P173">
        <f t="shared" si="10"/>
        <v>2025</v>
      </c>
      <c r="Q173" t="str">
        <f t="shared" si="11"/>
        <v>Jun</v>
      </c>
      <c r="R173" s="3">
        <f t="shared" si="12"/>
        <v>0.16727083333333334</v>
      </c>
      <c r="S173" t="str">
        <f t="shared" si="13"/>
        <v>Low</v>
      </c>
      <c r="T173">
        <f t="shared" si="14"/>
        <v>6</v>
      </c>
    </row>
    <row r="174" spans="1:20">
      <c r="A174" t="s">
        <v>380</v>
      </c>
      <c r="B174" s="2">
        <v>45925</v>
      </c>
      <c r="C174" t="s">
        <v>262</v>
      </c>
      <c r="D174" t="s">
        <v>94</v>
      </c>
      <c r="E174" t="s">
        <v>121</v>
      </c>
      <c r="F174" t="s">
        <v>44</v>
      </c>
      <c r="G174" t="s">
        <v>122</v>
      </c>
      <c r="H174" t="s">
        <v>36</v>
      </c>
      <c r="I174" t="s">
        <v>89</v>
      </c>
      <c r="J174" t="s">
        <v>90</v>
      </c>
      <c r="K174">
        <v>5</v>
      </c>
      <c r="L174">
        <v>30875</v>
      </c>
      <c r="M174" s="7">
        <v>0.05</v>
      </c>
      <c r="N174">
        <v>4054.05</v>
      </c>
      <c r="O174" t="s">
        <v>71</v>
      </c>
      <c r="P174">
        <f t="shared" si="10"/>
        <v>2025</v>
      </c>
      <c r="Q174" t="str">
        <f t="shared" si="11"/>
        <v>Sep</v>
      </c>
      <c r="R174" s="3">
        <f t="shared" si="12"/>
        <v>0.13130526315789473</v>
      </c>
      <c r="S174" t="str">
        <f t="shared" si="13"/>
        <v>High</v>
      </c>
      <c r="T174">
        <f t="shared" si="14"/>
        <v>9</v>
      </c>
    </row>
    <row r="175" spans="1:20">
      <c r="A175" t="s">
        <v>381</v>
      </c>
      <c r="B175" s="2">
        <v>45831</v>
      </c>
      <c r="C175" t="s">
        <v>134</v>
      </c>
      <c r="D175" t="s">
        <v>135</v>
      </c>
      <c r="E175" t="s">
        <v>114</v>
      </c>
      <c r="F175" t="s">
        <v>57</v>
      </c>
      <c r="G175" t="s">
        <v>58</v>
      </c>
      <c r="H175" t="s">
        <v>36</v>
      </c>
      <c r="I175" t="s">
        <v>37</v>
      </c>
      <c r="J175" t="s">
        <v>38</v>
      </c>
      <c r="K175">
        <v>5</v>
      </c>
      <c r="L175">
        <v>3500</v>
      </c>
      <c r="M175" s="7">
        <v>0</v>
      </c>
      <c r="N175">
        <v>832.46</v>
      </c>
      <c r="O175" t="s">
        <v>83</v>
      </c>
      <c r="P175">
        <f t="shared" si="10"/>
        <v>2025</v>
      </c>
      <c r="Q175" t="str">
        <f t="shared" si="11"/>
        <v>Jun</v>
      </c>
      <c r="R175" s="3">
        <f t="shared" si="12"/>
        <v>0.2378457142857143</v>
      </c>
      <c r="S175" t="str">
        <f t="shared" si="13"/>
        <v>Low</v>
      </c>
      <c r="T175">
        <f t="shared" si="14"/>
        <v>6</v>
      </c>
    </row>
    <row r="176" spans="1:20">
      <c r="A176" t="s">
        <v>382</v>
      </c>
      <c r="B176" s="2">
        <v>45943</v>
      </c>
      <c r="C176" t="s">
        <v>112</v>
      </c>
      <c r="D176" t="s">
        <v>113</v>
      </c>
      <c r="E176" t="s">
        <v>70</v>
      </c>
      <c r="F176" t="s">
        <v>25</v>
      </c>
      <c r="G176" t="s">
        <v>26</v>
      </c>
      <c r="H176" t="s">
        <v>36</v>
      </c>
      <c r="I176" t="s">
        <v>115</v>
      </c>
      <c r="J176" t="s">
        <v>116</v>
      </c>
      <c r="K176">
        <v>4</v>
      </c>
      <c r="L176">
        <v>4320</v>
      </c>
      <c r="M176" s="7">
        <v>0.1</v>
      </c>
      <c r="N176">
        <v>384.96</v>
      </c>
      <c r="O176" t="s">
        <v>30</v>
      </c>
      <c r="P176">
        <f t="shared" si="10"/>
        <v>2025</v>
      </c>
      <c r="Q176" t="str">
        <f t="shared" si="11"/>
        <v>Oct</v>
      </c>
      <c r="R176" s="3">
        <f t="shared" si="12"/>
        <v>8.9111111111111113E-2</v>
      </c>
      <c r="S176" t="str">
        <f t="shared" si="13"/>
        <v>Low</v>
      </c>
      <c r="T176">
        <f t="shared" si="14"/>
        <v>10</v>
      </c>
    </row>
    <row r="177" spans="1:20">
      <c r="A177" t="s">
        <v>383</v>
      </c>
      <c r="B177" s="2">
        <v>45699</v>
      </c>
      <c r="C177" t="s">
        <v>288</v>
      </c>
      <c r="D177" t="s">
        <v>289</v>
      </c>
      <c r="E177" t="s">
        <v>160</v>
      </c>
      <c r="F177" t="s">
        <v>25</v>
      </c>
      <c r="G177" t="s">
        <v>161</v>
      </c>
      <c r="H177" t="s">
        <v>36</v>
      </c>
      <c r="I177" t="s">
        <v>37</v>
      </c>
      <c r="J177" t="s">
        <v>38</v>
      </c>
      <c r="K177">
        <v>5</v>
      </c>
      <c r="L177">
        <v>12000</v>
      </c>
      <c r="M177" s="7">
        <v>0.25</v>
      </c>
      <c r="N177">
        <v>437.06</v>
      </c>
      <c r="O177" t="s">
        <v>71</v>
      </c>
      <c r="P177">
        <f t="shared" si="10"/>
        <v>2025</v>
      </c>
      <c r="Q177" t="str">
        <f t="shared" si="11"/>
        <v>Feb</v>
      </c>
      <c r="R177" s="3">
        <f t="shared" si="12"/>
        <v>3.6421666666666665E-2</v>
      </c>
      <c r="S177" t="str">
        <f t="shared" si="13"/>
        <v>Low</v>
      </c>
      <c r="T177">
        <f t="shared" si="14"/>
        <v>2</v>
      </c>
    </row>
    <row r="178" spans="1:20">
      <c r="A178" t="s">
        <v>384</v>
      </c>
      <c r="B178" s="2">
        <v>46020</v>
      </c>
      <c r="C178" t="s">
        <v>93</v>
      </c>
      <c r="D178" t="s">
        <v>94</v>
      </c>
      <c r="E178" t="s">
        <v>75</v>
      </c>
      <c r="F178" t="s">
        <v>76</v>
      </c>
      <c r="G178" t="s">
        <v>77</v>
      </c>
      <c r="H178" t="s">
        <v>59</v>
      </c>
      <c r="I178" t="s">
        <v>96</v>
      </c>
      <c r="J178" t="s">
        <v>61</v>
      </c>
      <c r="K178">
        <v>1</v>
      </c>
      <c r="L178">
        <v>162</v>
      </c>
      <c r="M178" s="7">
        <v>0.1</v>
      </c>
      <c r="N178">
        <v>25.22</v>
      </c>
      <c r="O178" t="s">
        <v>91</v>
      </c>
      <c r="P178">
        <f t="shared" si="10"/>
        <v>2025</v>
      </c>
      <c r="Q178" t="str">
        <f t="shared" si="11"/>
        <v>Dec</v>
      </c>
      <c r="R178" s="3">
        <f t="shared" si="12"/>
        <v>0.15567901234567902</v>
      </c>
      <c r="S178" t="str">
        <f t="shared" si="13"/>
        <v>Low</v>
      </c>
      <c r="T178">
        <f t="shared" si="14"/>
        <v>12</v>
      </c>
    </row>
    <row r="179" spans="1:20">
      <c r="A179" t="s">
        <v>385</v>
      </c>
      <c r="B179" s="2">
        <v>46017</v>
      </c>
      <c r="C179" t="s">
        <v>93</v>
      </c>
      <c r="D179" t="s">
        <v>94</v>
      </c>
      <c r="E179" t="s">
        <v>147</v>
      </c>
      <c r="F179" t="s">
        <v>76</v>
      </c>
      <c r="G179" t="s">
        <v>77</v>
      </c>
      <c r="H179" t="s">
        <v>59</v>
      </c>
      <c r="I179" t="s">
        <v>96</v>
      </c>
      <c r="J179" t="s">
        <v>61</v>
      </c>
      <c r="K179">
        <v>5</v>
      </c>
      <c r="L179">
        <v>1250</v>
      </c>
      <c r="M179" s="7">
        <v>0</v>
      </c>
      <c r="N179">
        <v>261.51</v>
      </c>
      <c r="O179" t="s">
        <v>91</v>
      </c>
      <c r="P179">
        <f t="shared" si="10"/>
        <v>2025</v>
      </c>
      <c r="Q179" t="str">
        <f t="shared" si="11"/>
        <v>Dec</v>
      </c>
      <c r="R179" s="3">
        <f t="shared" si="12"/>
        <v>0.20920800000000001</v>
      </c>
      <c r="S179" t="str">
        <f t="shared" si="13"/>
        <v>Low</v>
      </c>
      <c r="T179">
        <f t="shared" si="14"/>
        <v>12</v>
      </c>
    </row>
    <row r="180" spans="1:20">
      <c r="A180" t="s">
        <v>386</v>
      </c>
      <c r="B180" s="2">
        <v>45816</v>
      </c>
      <c r="C180" t="s">
        <v>309</v>
      </c>
      <c r="D180" t="s">
        <v>231</v>
      </c>
      <c r="E180" t="s">
        <v>160</v>
      </c>
      <c r="F180" t="s">
        <v>25</v>
      </c>
      <c r="G180" t="s">
        <v>161</v>
      </c>
      <c r="H180" t="s">
        <v>36</v>
      </c>
      <c r="I180" t="s">
        <v>37</v>
      </c>
      <c r="J180" t="s">
        <v>38</v>
      </c>
      <c r="K180">
        <v>2</v>
      </c>
      <c r="L180">
        <v>6080</v>
      </c>
      <c r="M180" s="7">
        <v>0.05</v>
      </c>
      <c r="N180">
        <v>782.92</v>
      </c>
      <c r="O180" t="s">
        <v>39</v>
      </c>
      <c r="P180">
        <f t="shared" si="10"/>
        <v>2025</v>
      </c>
      <c r="Q180" t="str">
        <f t="shared" si="11"/>
        <v>Jun</v>
      </c>
      <c r="R180" s="3">
        <f t="shared" si="12"/>
        <v>0.12876973684210527</v>
      </c>
      <c r="S180" t="str">
        <f t="shared" si="13"/>
        <v>Low</v>
      </c>
      <c r="T180">
        <f t="shared" si="14"/>
        <v>6</v>
      </c>
    </row>
    <row r="181" spans="1:20">
      <c r="A181" t="s">
        <v>387</v>
      </c>
      <c r="B181" s="2">
        <v>45737</v>
      </c>
      <c r="C181" t="s">
        <v>312</v>
      </c>
      <c r="D181" t="s">
        <v>313</v>
      </c>
      <c r="E181" t="s">
        <v>24</v>
      </c>
      <c r="F181" t="s">
        <v>25</v>
      </c>
      <c r="G181" t="s">
        <v>26</v>
      </c>
      <c r="H181" t="s">
        <v>27</v>
      </c>
      <c r="I181" t="s">
        <v>46</v>
      </c>
      <c r="J181" t="s">
        <v>46</v>
      </c>
      <c r="K181">
        <v>1</v>
      </c>
      <c r="L181">
        <v>1620</v>
      </c>
      <c r="M181" s="7">
        <v>0.1</v>
      </c>
      <c r="N181">
        <v>366.7</v>
      </c>
      <c r="O181" t="s">
        <v>30</v>
      </c>
      <c r="P181">
        <f t="shared" si="10"/>
        <v>2025</v>
      </c>
      <c r="Q181" t="str">
        <f t="shared" si="11"/>
        <v>Mar</v>
      </c>
      <c r="R181" s="3">
        <f t="shared" si="12"/>
        <v>0.22635802469135802</v>
      </c>
      <c r="S181" t="str">
        <f t="shared" si="13"/>
        <v>Low</v>
      </c>
      <c r="T181">
        <f t="shared" si="14"/>
        <v>3</v>
      </c>
    </row>
    <row r="182" spans="1:20">
      <c r="A182" t="s">
        <v>388</v>
      </c>
      <c r="B182" s="2">
        <v>45996</v>
      </c>
      <c r="C182" t="s">
        <v>242</v>
      </c>
      <c r="D182" t="s">
        <v>23</v>
      </c>
      <c r="E182" t="s">
        <v>34</v>
      </c>
      <c r="F182" t="s">
        <v>25</v>
      </c>
      <c r="G182" t="s">
        <v>35</v>
      </c>
      <c r="H182" t="s">
        <v>36</v>
      </c>
      <c r="I182" t="s">
        <v>37</v>
      </c>
      <c r="J182" t="s">
        <v>38</v>
      </c>
      <c r="K182">
        <v>3</v>
      </c>
      <c r="L182">
        <v>115500</v>
      </c>
      <c r="M182" s="7">
        <v>0.3</v>
      </c>
      <c r="N182">
        <v>11412.88</v>
      </c>
      <c r="O182" t="s">
        <v>39</v>
      </c>
      <c r="P182">
        <f t="shared" si="10"/>
        <v>2025</v>
      </c>
      <c r="Q182" t="str">
        <f t="shared" si="11"/>
        <v>Dec</v>
      </c>
      <c r="R182" s="3">
        <f t="shared" si="12"/>
        <v>9.8812813852813847E-2</v>
      </c>
      <c r="S182" t="str">
        <f t="shared" si="13"/>
        <v>High</v>
      </c>
      <c r="T182">
        <f t="shared" si="14"/>
        <v>12</v>
      </c>
    </row>
    <row r="183" spans="1:20">
      <c r="A183" t="s">
        <v>389</v>
      </c>
      <c r="B183" s="2">
        <v>46012</v>
      </c>
      <c r="C183" t="s">
        <v>63</v>
      </c>
      <c r="D183" t="s">
        <v>64</v>
      </c>
      <c r="E183" t="s">
        <v>24</v>
      </c>
      <c r="F183" t="s">
        <v>25</v>
      </c>
      <c r="G183" t="s">
        <v>26</v>
      </c>
      <c r="H183" t="s">
        <v>27</v>
      </c>
      <c r="I183" t="s">
        <v>65</v>
      </c>
      <c r="J183" t="s">
        <v>66</v>
      </c>
      <c r="K183">
        <v>5</v>
      </c>
      <c r="L183">
        <v>6300</v>
      </c>
      <c r="M183" s="7">
        <v>0.3</v>
      </c>
      <c r="N183">
        <v>922.59</v>
      </c>
      <c r="O183" t="s">
        <v>83</v>
      </c>
      <c r="P183">
        <f t="shared" si="10"/>
        <v>2025</v>
      </c>
      <c r="Q183" t="str">
        <f t="shared" si="11"/>
        <v>Dec</v>
      </c>
      <c r="R183" s="3">
        <f t="shared" si="12"/>
        <v>0.14644285714285715</v>
      </c>
      <c r="S183" t="str">
        <f t="shared" si="13"/>
        <v>Low</v>
      </c>
      <c r="T183">
        <f t="shared" si="14"/>
        <v>12</v>
      </c>
    </row>
    <row r="184" spans="1:20">
      <c r="A184" t="s">
        <v>390</v>
      </c>
      <c r="B184" s="2">
        <v>46004</v>
      </c>
      <c r="C184" t="s">
        <v>134</v>
      </c>
      <c r="D184" t="s">
        <v>135</v>
      </c>
      <c r="E184" t="s">
        <v>160</v>
      </c>
      <c r="F184" t="s">
        <v>25</v>
      </c>
      <c r="G184" t="s">
        <v>161</v>
      </c>
      <c r="H184" t="s">
        <v>36</v>
      </c>
      <c r="I184" t="s">
        <v>37</v>
      </c>
      <c r="J184" t="s">
        <v>38</v>
      </c>
      <c r="K184">
        <v>2</v>
      </c>
      <c r="L184">
        <v>5440</v>
      </c>
      <c r="M184" s="7">
        <v>0.15</v>
      </c>
      <c r="N184">
        <v>782.84</v>
      </c>
      <c r="O184" t="s">
        <v>71</v>
      </c>
      <c r="P184">
        <f t="shared" si="10"/>
        <v>2025</v>
      </c>
      <c r="Q184" t="str">
        <f t="shared" si="11"/>
        <v>Dec</v>
      </c>
      <c r="R184" s="3">
        <f t="shared" si="12"/>
        <v>0.14390441176470589</v>
      </c>
      <c r="S184" t="str">
        <f t="shared" si="13"/>
        <v>Low</v>
      </c>
      <c r="T184">
        <f t="shared" si="14"/>
        <v>12</v>
      </c>
    </row>
    <row r="185" spans="1:20">
      <c r="A185" t="s">
        <v>391</v>
      </c>
      <c r="B185" s="2">
        <v>45780</v>
      </c>
      <c r="C185" t="s">
        <v>392</v>
      </c>
      <c r="D185" t="s">
        <v>107</v>
      </c>
      <c r="E185" t="s">
        <v>121</v>
      </c>
      <c r="F185" t="s">
        <v>44</v>
      </c>
      <c r="G185" t="s">
        <v>122</v>
      </c>
      <c r="H185" t="s">
        <v>36</v>
      </c>
      <c r="I185" t="s">
        <v>37</v>
      </c>
      <c r="J185" t="s">
        <v>38</v>
      </c>
      <c r="K185">
        <v>3</v>
      </c>
      <c r="L185">
        <v>13650</v>
      </c>
      <c r="M185" s="7">
        <v>0.3</v>
      </c>
      <c r="N185">
        <v>1488.89</v>
      </c>
      <c r="O185" t="s">
        <v>39</v>
      </c>
      <c r="P185">
        <f t="shared" si="10"/>
        <v>2025</v>
      </c>
      <c r="Q185" t="str">
        <f t="shared" si="11"/>
        <v>May</v>
      </c>
      <c r="R185" s="3">
        <f t="shared" si="12"/>
        <v>0.10907619047619048</v>
      </c>
      <c r="S185" t="str">
        <f t="shared" si="13"/>
        <v>Low</v>
      </c>
      <c r="T185">
        <f t="shared" si="14"/>
        <v>5</v>
      </c>
    </row>
    <row r="186" spans="1:20">
      <c r="A186" t="s">
        <v>393</v>
      </c>
      <c r="B186" s="2">
        <v>45950</v>
      </c>
      <c r="C186" t="s">
        <v>394</v>
      </c>
      <c r="D186" t="s">
        <v>216</v>
      </c>
      <c r="E186" t="s">
        <v>147</v>
      </c>
      <c r="F186" t="s">
        <v>76</v>
      </c>
      <c r="G186" t="s">
        <v>77</v>
      </c>
      <c r="H186" t="s">
        <v>36</v>
      </c>
      <c r="I186" t="s">
        <v>37</v>
      </c>
      <c r="J186" t="s">
        <v>38</v>
      </c>
      <c r="K186">
        <v>4</v>
      </c>
      <c r="L186">
        <v>850</v>
      </c>
      <c r="M186" s="7">
        <v>0.15</v>
      </c>
      <c r="N186">
        <v>148.5</v>
      </c>
      <c r="O186" t="s">
        <v>30</v>
      </c>
      <c r="P186">
        <f t="shared" si="10"/>
        <v>2025</v>
      </c>
      <c r="Q186" t="str">
        <f t="shared" si="11"/>
        <v>Oct</v>
      </c>
      <c r="R186" s="3">
        <f t="shared" si="12"/>
        <v>0.17470588235294118</v>
      </c>
      <c r="S186" t="str">
        <f t="shared" si="13"/>
        <v>Low</v>
      </c>
      <c r="T186">
        <f t="shared" si="14"/>
        <v>10</v>
      </c>
    </row>
    <row r="187" spans="1:20">
      <c r="A187" t="s">
        <v>395</v>
      </c>
      <c r="B187" s="2">
        <v>45740</v>
      </c>
      <c r="C187" t="s">
        <v>242</v>
      </c>
      <c r="D187" t="s">
        <v>23</v>
      </c>
      <c r="E187" t="s">
        <v>43</v>
      </c>
      <c r="F187" t="s">
        <v>44</v>
      </c>
      <c r="G187" t="s">
        <v>45</v>
      </c>
      <c r="H187" t="s">
        <v>36</v>
      </c>
      <c r="I187" t="s">
        <v>37</v>
      </c>
      <c r="J187" t="s">
        <v>38</v>
      </c>
      <c r="K187">
        <v>2</v>
      </c>
      <c r="L187">
        <v>11900</v>
      </c>
      <c r="M187" s="7">
        <v>0.3</v>
      </c>
      <c r="N187">
        <v>897.94</v>
      </c>
      <c r="O187" t="s">
        <v>83</v>
      </c>
      <c r="P187">
        <f t="shared" si="10"/>
        <v>2025</v>
      </c>
      <c r="Q187" t="str">
        <f t="shared" si="11"/>
        <v>Mar</v>
      </c>
      <c r="R187" s="3">
        <f t="shared" si="12"/>
        <v>7.5457142857142862E-2</v>
      </c>
      <c r="S187" t="str">
        <f t="shared" si="13"/>
        <v>Low</v>
      </c>
      <c r="T187">
        <f t="shared" si="14"/>
        <v>3</v>
      </c>
    </row>
    <row r="188" spans="1:20">
      <c r="A188" t="s">
        <v>396</v>
      </c>
      <c r="B188" s="2">
        <v>45848</v>
      </c>
      <c r="C188" t="s">
        <v>247</v>
      </c>
      <c r="D188" t="s">
        <v>169</v>
      </c>
      <c r="E188" t="s">
        <v>142</v>
      </c>
      <c r="F188" t="s">
        <v>25</v>
      </c>
      <c r="G188" t="s">
        <v>143</v>
      </c>
      <c r="H188" t="s">
        <v>127</v>
      </c>
      <c r="I188" t="s">
        <v>128</v>
      </c>
      <c r="J188" t="s">
        <v>129</v>
      </c>
      <c r="K188">
        <v>5</v>
      </c>
      <c r="L188">
        <v>57500</v>
      </c>
      <c r="M188" s="7">
        <v>0</v>
      </c>
      <c r="N188">
        <v>12781.11</v>
      </c>
      <c r="O188" t="s">
        <v>83</v>
      </c>
      <c r="P188">
        <f t="shared" si="10"/>
        <v>2025</v>
      </c>
      <c r="Q188" t="str">
        <f t="shared" si="11"/>
        <v>Jul</v>
      </c>
      <c r="R188" s="3">
        <f t="shared" si="12"/>
        <v>0.2222801739130435</v>
      </c>
      <c r="S188" t="str">
        <f t="shared" si="13"/>
        <v>High</v>
      </c>
      <c r="T188">
        <f t="shared" si="14"/>
        <v>7</v>
      </c>
    </row>
    <row r="189" spans="1:20">
      <c r="A189" t="s">
        <v>397</v>
      </c>
      <c r="B189" s="2">
        <v>45740</v>
      </c>
      <c r="C189" t="s">
        <v>278</v>
      </c>
      <c r="D189" t="s">
        <v>279</v>
      </c>
      <c r="E189" t="s">
        <v>70</v>
      </c>
      <c r="F189" t="s">
        <v>25</v>
      </c>
      <c r="G189" t="s">
        <v>26</v>
      </c>
      <c r="H189" t="s">
        <v>36</v>
      </c>
      <c r="I189" t="s">
        <v>89</v>
      </c>
      <c r="J189" t="s">
        <v>90</v>
      </c>
      <c r="K189">
        <v>3</v>
      </c>
      <c r="L189">
        <v>3060</v>
      </c>
      <c r="M189" s="7">
        <v>0.15</v>
      </c>
      <c r="N189">
        <v>690.14</v>
      </c>
      <c r="O189" t="s">
        <v>71</v>
      </c>
      <c r="P189">
        <f t="shared" si="10"/>
        <v>2025</v>
      </c>
      <c r="Q189" t="str">
        <f t="shared" si="11"/>
        <v>Mar</v>
      </c>
      <c r="R189" s="3">
        <f t="shared" si="12"/>
        <v>0.22553594771241831</v>
      </c>
      <c r="S189" t="str">
        <f t="shared" si="13"/>
        <v>Low</v>
      </c>
      <c r="T189">
        <f t="shared" si="14"/>
        <v>3</v>
      </c>
    </row>
    <row r="190" spans="1:20">
      <c r="A190" t="s">
        <v>398</v>
      </c>
      <c r="B190" s="2">
        <v>45771</v>
      </c>
      <c r="C190" t="s">
        <v>399</v>
      </c>
      <c r="D190" t="s">
        <v>400</v>
      </c>
      <c r="E190" t="s">
        <v>95</v>
      </c>
      <c r="F190" t="s">
        <v>25</v>
      </c>
      <c r="G190" t="s">
        <v>26</v>
      </c>
      <c r="H190" t="s">
        <v>36</v>
      </c>
      <c r="I190" t="s">
        <v>37</v>
      </c>
      <c r="J190" t="s">
        <v>38</v>
      </c>
      <c r="K190">
        <v>4</v>
      </c>
      <c r="L190">
        <v>1620</v>
      </c>
      <c r="M190" s="7">
        <v>0.1</v>
      </c>
      <c r="N190">
        <v>381.87</v>
      </c>
      <c r="O190" t="s">
        <v>71</v>
      </c>
      <c r="P190">
        <f t="shared" si="10"/>
        <v>2025</v>
      </c>
      <c r="Q190" t="str">
        <f t="shared" si="11"/>
        <v>Apr</v>
      </c>
      <c r="R190" s="3">
        <f t="shared" si="12"/>
        <v>0.23572222222222222</v>
      </c>
      <c r="S190" t="str">
        <f t="shared" si="13"/>
        <v>Low</v>
      </c>
      <c r="T190">
        <f t="shared" si="14"/>
        <v>4</v>
      </c>
    </row>
    <row r="191" spans="1:20">
      <c r="A191" t="s">
        <v>401</v>
      </c>
      <c r="B191" s="2">
        <v>45778</v>
      </c>
      <c r="C191" t="s">
        <v>285</v>
      </c>
      <c r="D191" t="s">
        <v>286</v>
      </c>
      <c r="E191" t="s">
        <v>160</v>
      </c>
      <c r="F191" t="s">
        <v>25</v>
      </c>
      <c r="G191" t="s">
        <v>161</v>
      </c>
      <c r="H191" t="s">
        <v>27</v>
      </c>
      <c r="I191" t="s">
        <v>28</v>
      </c>
      <c r="J191" t="s">
        <v>29</v>
      </c>
      <c r="K191">
        <v>4</v>
      </c>
      <c r="L191">
        <v>12800</v>
      </c>
      <c r="M191" s="7">
        <v>0</v>
      </c>
      <c r="N191">
        <v>1983.78</v>
      </c>
      <c r="O191" t="s">
        <v>83</v>
      </c>
      <c r="P191">
        <f t="shared" si="10"/>
        <v>2025</v>
      </c>
      <c r="Q191" t="str">
        <f t="shared" si="11"/>
        <v>May</v>
      </c>
      <c r="R191" s="3">
        <f t="shared" si="12"/>
        <v>0.15498281250000001</v>
      </c>
      <c r="S191" t="str">
        <f t="shared" si="13"/>
        <v>Low</v>
      </c>
      <c r="T191">
        <f t="shared" si="14"/>
        <v>5</v>
      </c>
    </row>
    <row r="192" spans="1:20">
      <c r="A192" t="s">
        <v>402</v>
      </c>
      <c r="B192" s="2">
        <v>45732</v>
      </c>
      <c r="C192" t="s">
        <v>112</v>
      </c>
      <c r="D192" t="s">
        <v>113</v>
      </c>
      <c r="E192" t="s">
        <v>114</v>
      </c>
      <c r="F192" t="s">
        <v>57</v>
      </c>
      <c r="G192" t="s">
        <v>58</v>
      </c>
      <c r="H192" t="s">
        <v>36</v>
      </c>
      <c r="I192" t="s">
        <v>115</v>
      </c>
      <c r="J192" t="s">
        <v>116</v>
      </c>
      <c r="K192">
        <v>2</v>
      </c>
      <c r="L192">
        <v>1400</v>
      </c>
      <c r="M192" s="7">
        <v>0</v>
      </c>
      <c r="N192">
        <v>192.33</v>
      </c>
      <c r="O192" t="s">
        <v>39</v>
      </c>
      <c r="P192">
        <f t="shared" si="10"/>
        <v>2025</v>
      </c>
      <c r="Q192" t="str">
        <f t="shared" si="11"/>
        <v>Mar</v>
      </c>
      <c r="R192" s="3">
        <f t="shared" si="12"/>
        <v>0.13737857142857143</v>
      </c>
      <c r="S192" t="str">
        <f t="shared" si="13"/>
        <v>Low</v>
      </c>
      <c r="T192">
        <f t="shared" si="14"/>
        <v>3</v>
      </c>
    </row>
    <row r="193" spans="1:20">
      <c r="A193" t="s">
        <v>403</v>
      </c>
      <c r="B193" s="2">
        <v>45973</v>
      </c>
      <c r="C193" t="s">
        <v>175</v>
      </c>
      <c r="D193" t="s">
        <v>176</v>
      </c>
      <c r="E193" t="s">
        <v>87</v>
      </c>
      <c r="F193" t="s">
        <v>44</v>
      </c>
      <c r="G193" t="s">
        <v>88</v>
      </c>
      <c r="H193" t="s">
        <v>59</v>
      </c>
      <c r="I193" t="s">
        <v>96</v>
      </c>
      <c r="J193" t="s">
        <v>61</v>
      </c>
      <c r="K193">
        <v>1</v>
      </c>
      <c r="L193">
        <v>12000</v>
      </c>
      <c r="M193" s="7">
        <v>0</v>
      </c>
      <c r="N193">
        <v>1005.61</v>
      </c>
      <c r="O193" t="s">
        <v>39</v>
      </c>
      <c r="P193">
        <f t="shared" si="10"/>
        <v>2025</v>
      </c>
      <c r="Q193" t="str">
        <f t="shared" si="11"/>
        <v>Nov</v>
      </c>
      <c r="R193" s="3">
        <f t="shared" si="12"/>
        <v>8.3800833333333338E-2</v>
      </c>
      <c r="S193" t="str">
        <f t="shared" si="13"/>
        <v>Low</v>
      </c>
      <c r="T193">
        <f t="shared" si="14"/>
        <v>11</v>
      </c>
    </row>
    <row r="194" spans="1:20">
      <c r="A194" t="s">
        <v>404</v>
      </c>
      <c r="B194" s="2">
        <v>45969</v>
      </c>
      <c r="C194" t="s">
        <v>273</v>
      </c>
      <c r="D194" t="s">
        <v>212</v>
      </c>
      <c r="E194" t="s">
        <v>56</v>
      </c>
      <c r="F194" t="s">
        <v>57</v>
      </c>
      <c r="G194" t="s">
        <v>58</v>
      </c>
      <c r="H194" t="s">
        <v>59</v>
      </c>
      <c r="I194" t="s">
        <v>81</v>
      </c>
      <c r="J194" t="s">
        <v>82</v>
      </c>
      <c r="K194">
        <v>5</v>
      </c>
      <c r="L194">
        <v>6800</v>
      </c>
      <c r="M194" s="7">
        <v>0.15</v>
      </c>
      <c r="N194">
        <v>417.75</v>
      </c>
      <c r="O194" t="s">
        <v>91</v>
      </c>
      <c r="P194">
        <f t="shared" ref="P194:P257" si="15">YEAR(B194)</f>
        <v>2025</v>
      </c>
      <c r="Q194" t="str">
        <f t="shared" ref="Q194:Q257" si="16">TEXT(B194,"mmm")</f>
        <v>Nov</v>
      </c>
      <c r="R194" s="3">
        <f t="shared" ref="R194:R257" si="17">N194/L194</f>
        <v>6.1433823529411763E-2</v>
      </c>
      <c r="S194" t="str">
        <f t="shared" ref="S194:S257" si="18">IF(L194&gt;=30000,"High","Low")</f>
        <v>Low</v>
      </c>
      <c r="T194">
        <f t="shared" ref="T194:T257" si="19">MONTH(B194)</f>
        <v>11</v>
      </c>
    </row>
    <row r="195" spans="1:20">
      <c r="A195" t="s">
        <v>405</v>
      </c>
      <c r="B195" s="2">
        <v>45780</v>
      </c>
      <c r="C195" t="s">
        <v>322</v>
      </c>
      <c r="D195" t="s">
        <v>323</v>
      </c>
      <c r="E195" t="s">
        <v>34</v>
      </c>
      <c r="F195" t="s">
        <v>25</v>
      </c>
      <c r="G195" t="s">
        <v>35</v>
      </c>
      <c r="H195" t="s">
        <v>27</v>
      </c>
      <c r="I195" t="s">
        <v>65</v>
      </c>
      <c r="J195" t="s">
        <v>66</v>
      </c>
      <c r="K195">
        <v>4</v>
      </c>
      <c r="L195">
        <v>165000</v>
      </c>
      <c r="M195" s="7">
        <v>0.25</v>
      </c>
      <c r="N195">
        <v>26434.69</v>
      </c>
      <c r="O195" t="s">
        <v>83</v>
      </c>
      <c r="P195">
        <f t="shared" si="15"/>
        <v>2025</v>
      </c>
      <c r="Q195" t="str">
        <f t="shared" si="16"/>
        <v>May</v>
      </c>
      <c r="R195" s="3">
        <f t="shared" si="17"/>
        <v>0.16021024242424242</v>
      </c>
      <c r="S195" t="str">
        <f t="shared" si="18"/>
        <v>High</v>
      </c>
      <c r="T195">
        <f t="shared" si="19"/>
        <v>5</v>
      </c>
    </row>
    <row r="196" spans="1:20">
      <c r="A196" t="s">
        <v>406</v>
      </c>
      <c r="B196" s="2">
        <v>45932</v>
      </c>
      <c r="C196" t="s">
        <v>178</v>
      </c>
      <c r="D196" t="s">
        <v>86</v>
      </c>
      <c r="E196" t="s">
        <v>75</v>
      </c>
      <c r="F196" t="s">
        <v>76</v>
      </c>
      <c r="G196" t="s">
        <v>77</v>
      </c>
      <c r="H196" t="s">
        <v>36</v>
      </c>
      <c r="I196" t="s">
        <v>37</v>
      </c>
      <c r="J196" t="s">
        <v>38</v>
      </c>
      <c r="K196">
        <v>1</v>
      </c>
      <c r="L196">
        <v>135</v>
      </c>
      <c r="M196" s="7">
        <v>0.25</v>
      </c>
      <c r="N196">
        <v>15.92</v>
      </c>
      <c r="O196" t="s">
        <v>39</v>
      </c>
      <c r="P196">
        <f t="shared" si="15"/>
        <v>2025</v>
      </c>
      <c r="Q196" t="str">
        <f t="shared" si="16"/>
        <v>Oct</v>
      </c>
      <c r="R196" s="3">
        <f t="shared" si="17"/>
        <v>0.11792592592592592</v>
      </c>
      <c r="S196" t="str">
        <f t="shared" si="18"/>
        <v>Low</v>
      </c>
      <c r="T196">
        <f t="shared" si="19"/>
        <v>10</v>
      </c>
    </row>
    <row r="197" spans="1:20">
      <c r="A197" t="s">
        <v>407</v>
      </c>
      <c r="B197" s="2">
        <v>45658</v>
      </c>
      <c r="C197" t="s">
        <v>245</v>
      </c>
      <c r="D197" t="s">
        <v>52</v>
      </c>
      <c r="E197" t="s">
        <v>43</v>
      </c>
      <c r="F197" t="s">
        <v>44</v>
      </c>
      <c r="G197" t="s">
        <v>45</v>
      </c>
      <c r="H197" t="s">
        <v>36</v>
      </c>
      <c r="I197" t="s">
        <v>37</v>
      </c>
      <c r="J197" t="s">
        <v>38</v>
      </c>
      <c r="K197">
        <v>5</v>
      </c>
      <c r="L197">
        <v>38250</v>
      </c>
      <c r="M197" s="7">
        <v>0.1</v>
      </c>
      <c r="N197">
        <v>3736.97</v>
      </c>
      <c r="O197" t="s">
        <v>83</v>
      </c>
      <c r="P197">
        <f t="shared" si="15"/>
        <v>2025</v>
      </c>
      <c r="Q197" t="str">
        <f t="shared" si="16"/>
        <v>Jan</v>
      </c>
      <c r="R197" s="3">
        <f t="shared" si="17"/>
        <v>9.7698562091503266E-2</v>
      </c>
      <c r="S197" t="str">
        <f t="shared" si="18"/>
        <v>High</v>
      </c>
      <c r="T197">
        <f t="shared" si="19"/>
        <v>1</v>
      </c>
    </row>
    <row r="198" spans="1:20">
      <c r="A198" t="s">
        <v>408</v>
      </c>
      <c r="B198" s="2">
        <v>45692</v>
      </c>
      <c r="C198" t="s">
        <v>242</v>
      </c>
      <c r="D198" t="s">
        <v>23</v>
      </c>
      <c r="E198" t="s">
        <v>160</v>
      </c>
      <c r="F198" t="s">
        <v>25</v>
      </c>
      <c r="G198" t="s">
        <v>161</v>
      </c>
      <c r="H198" t="s">
        <v>36</v>
      </c>
      <c r="I198" t="s">
        <v>37</v>
      </c>
      <c r="J198" t="s">
        <v>38</v>
      </c>
      <c r="K198">
        <v>5</v>
      </c>
      <c r="L198">
        <v>12800</v>
      </c>
      <c r="M198" s="7">
        <v>0.2</v>
      </c>
      <c r="N198">
        <v>1178.23</v>
      </c>
      <c r="O198" t="s">
        <v>30</v>
      </c>
      <c r="P198">
        <f t="shared" si="15"/>
        <v>2025</v>
      </c>
      <c r="Q198" t="str">
        <f t="shared" si="16"/>
        <v>Feb</v>
      </c>
      <c r="R198" s="3">
        <f t="shared" si="17"/>
        <v>9.2049218749999995E-2</v>
      </c>
      <c r="S198" t="str">
        <f t="shared" si="18"/>
        <v>Low</v>
      </c>
      <c r="T198">
        <f t="shared" si="19"/>
        <v>2</v>
      </c>
    </row>
    <row r="199" spans="1:20">
      <c r="A199" t="s">
        <v>409</v>
      </c>
      <c r="B199" s="2">
        <v>45898</v>
      </c>
      <c r="C199" t="s">
        <v>309</v>
      </c>
      <c r="D199" t="s">
        <v>231</v>
      </c>
      <c r="E199" t="s">
        <v>43</v>
      </c>
      <c r="F199" t="s">
        <v>44</v>
      </c>
      <c r="G199" t="s">
        <v>45</v>
      </c>
      <c r="H199" t="s">
        <v>36</v>
      </c>
      <c r="I199" t="s">
        <v>37</v>
      </c>
      <c r="J199" t="s">
        <v>38</v>
      </c>
      <c r="K199">
        <v>1</v>
      </c>
      <c r="L199">
        <v>6375</v>
      </c>
      <c r="M199" s="7">
        <v>0.25</v>
      </c>
      <c r="N199">
        <v>535.79</v>
      </c>
      <c r="O199" t="s">
        <v>83</v>
      </c>
      <c r="P199">
        <f t="shared" si="15"/>
        <v>2025</v>
      </c>
      <c r="Q199" t="str">
        <f t="shared" si="16"/>
        <v>Aug</v>
      </c>
      <c r="R199" s="3">
        <f t="shared" si="17"/>
        <v>8.4045490196078432E-2</v>
      </c>
      <c r="S199" t="str">
        <f t="shared" si="18"/>
        <v>Low</v>
      </c>
      <c r="T199">
        <f t="shared" si="19"/>
        <v>8</v>
      </c>
    </row>
    <row r="200" spans="1:20">
      <c r="A200" t="s">
        <v>410</v>
      </c>
      <c r="B200" s="2">
        <v>45692</v>
      </c>
      <c r="C200" t="s">
        <v>124</v>
      </c>
      <c r="D200" t="s">
        <v>125</v>
      </c>
      <c r="E200" t="s">
        <v>114</v>
      </c>
      <c r="F200" t="s">
        <v>57</v>
      </c>
      <c r="G200" t="s">
        <v>58</v>
      </c>
      <c r="H200" t="s">
        <v>127</v>
      </c>
      <c r="I200" t="s">
        <v>128</v>
      </c>
      <c r="J200" t="s">
        <v>129</v>
      </c>
      <c r="K200">
        <v>3</v>
      </c>
      <c r="L200">
        <v>1995</v>
      </c>
      <c r="M200" s="7">
        <v>0.05</v>
      </c>
      <c r="N200">
        <v>416.43</v>
      </c>
      <c r="O200" t="s">
        <v>30</v>
      </c>
      <c r="P200">
        <f t="shared" si="15"/>
        <v>2025</v>
      </c>
      <c r="Q200" t="str">
        <f t="shared" si="16"/>
        <v>Feb</v>
      </c>
      <c r="R200" s="3">
        <f t="shared" si="17"/>
        <v>0.20873684210526317</v>
      </c>
      <c r="S200" t="str">
        <f t="shared" si="18"/>
        <v>Low</v>
      </c>
      <c r="T200">
        <f t="shared" si="19"/>
        <v>2</v>
      </c>
    </row>
    <row r="201" spans="1:20">
      <c r="A201" t="s">
        <v>411</v>
      </c>
      <c r="B201" s="2">
        <v>45680</v>
      </c>
      <c r="C201" t="s">
        <v>112</v>
      </c>
      <c r="D201" t="s">
        <v>113</v>
      </c>
      <c r="E201" t="s">
        <v>24</v>
      </c>
      <c r="F201" t="s">
        <v>25</v>
      </c>
      <c r="G201" t="s">
        <v>26</v>
      </c>
      <c r="H201" t="s">
        <v>36</v>
      </c>
      <c r="I201" t="s">
        <v>115</v>
      </c>
      <c r="J201" t="s">
        <v>116</v>
      </c>
      <c r="K201">
        <v>3</v>
      </c>
      <c r="L201">
        <v>4320</v>
      </c>
      <c r="M201" s="7">
        <v>0.2</v>
      </c>
      <c r="N201">
        <v>326.45999999999998</v>
      </c>
      <c r="O201" t="s">
        <v>71</v>
      </c>
      <c r="P201">
        <f t="shared" si="15"/>
        <v>2025</v>
      </c>
      <c r="Q201" t="str">
        <f t="shared" si="16"/>
        <v>Jan</v>
      </c>
      <c r="R201" s="3">
        <f t="shared" si="17"/>
        <v>7.5569444444444439E-2</v>
      </c>
      <c r="S201" t="str">
        <f t="shared" si="18"/>
        <v>Low</v>
      </c>
      <c r="T201">
        <f t="shared" si="19"/>
        <v>1</v>
      </c>
    </row>
    <row r="202" spans="1:20">
      <c r="A202" t="s">
        <v>412</v>
      </c>
      <c r="B202" s="2">
        <v>45751</v>
      </c>
      <c r="C202" t="s">
        <v>247</v>
      </c>
      <c r="D202" t="s">
        <v>169</v>
      </c>
      <c r="E202" t="s">
        <v>147</v>
      </c>
      <c r="F202" t="s">
        <v>76</v>
      </c>
      <c r="G202" t="s">
        <v>77</v>
      </c>
      <c r="H202" t="s">
        <v>127</v>
      </c>
      <c r="I202" t="s">
        <v>128</v>
      </c>
      <c r="J202" t="s">
        <v>129</v>
      </c>
      <c r="K202">
        <v>2</v>
      </c>
      <c r="L202">
        <v>500</v>
      </c>
      <c r="M202" s="7">
        <v>0</v>
      </c>
      <c r="N202">
        <v>111.6</v>
      </c>
      <c r="O202" t="s">
        <v>83</v>
      </c>
      <c r="P202">
        <f t="shared" si="15"/>
        <v>2025</v>
      </c>
      <c r="Q202" t="str">
        <f t="shared" si="16"/>
        <v>Apr</v>
      </c>
      <c r="R202" s="3">
        <f t="shared" si="17"/>
        <v>0.22319999999999998</v>
      </c>
      <c r="S202" t="str">
        <f t="shared" si="18"/>
        <v>Low</v>
      </c>
      <c r="T202">
        <f t="shared" si="19"/>
        <v>4</v>
      </c>
    </row>
    <row r="203" spans="1:20">
      <c r="A203" t="s">
        <v>413</v>
      </c>
      <c r="B203" s="2">
        <v>45680</v>
      </c>
      <c r="C203" t="s">
        <v>245</v>
      </c>
      <c r="D203" t="s">
        <v>52</v>
      </c>
      <c r="E203" t="s">
        <v>126</v>
      </c>
      <c r="F203" t="s">
        <v>25</v>
      </c>
      <c r="G203" t="s">
        <v>35</v>
      </c>
      <c r="H203" t="s">
        <v>36</v>
      </c>
      <c r="I203" t="s">
        <v>37</v>
      </c>
      <c r="J203" t="s">
        <v>38</v>
      </c>
      <c r="K203">
        <v>2</v>
      </c>
      <c r="L203">
        <v>29000</v>
      </c>
      <c r="M203" s="7">
        <v>0</v>
      </c>
      <c r="N203">
        <v>4150.46</v>
      </c>
      <c r="O203" t="s">
        <v>71</v>
      </c>
      <c r="P203">
        <f t="shared" si="15"/>
        <v>2025</v>
      </c>
      <c r="Q203" t="str">
        <f t="shared" si="16"/>
        <v>Jan</v>
      </c>
      <c r="R203" s="3">
        <f t="shared" si="17"/>
        <v>0.14311931034482758</v>
      </c>
      <c r="S203" t="str">
        <f t="shared" si="18"/>
        <v>Low</v>
      </c>
      <c r="T203">
        <f t="shared" si="19"/>
        <v>1</v>
      </c>
    </row>
    <row r="204" spans="1:20">
      <c r="A204" t="s">
        <v>414</v>
      </c>
      <c r="B204" s="2">
        <v>45787</v>
      </c>
      <c r="C204" t="s">
        <v>198</v>
      </c>
      <c r="D204" t="s">
        <v>199</v>
      </c>
      <c r="E204" t="s">
        <v>87</v>
      </c>
      <c r="F204" t="s">
        <v>44</v>
      </c>
      <c r="G204" t="s">
        <v>88</v>
      </c>
      <c r="H204" t="s">
        <v>59</v>
      </c>
      <c r="I204" t="s">
        <v>96</v>
      </c>
      <c r="J204" t="s">
        <v>61</v>
      </c>
      <c r="K204">
        <v>1</v>
      </c>
      <c r="L204">
        <v>8400</v>
      </c>
      <c r="M204" s="7">
        <v>0.3</v>
      </c>
      <c r="N204">
        <v>1074.54</v>
      </c>
      <c r="O204" t="s">
        <v>83</v>
      </c>
      <c r="P204">
        <f t="shared" si="15"/>
        <v>2025</v>
      </c>
      <c r="Q204" t="str">
        <f t="shared" si="16"/>
        <v>May</v>
      </c>
      <c r="R204" s="3">
        <f t="shared" si="17"/>
        <v>0.12792142857142857</v>
      </c>
      <c r="S204" t="str">
        <f t="shared" si="18"/>
        <v>Low</v>
      </c>
      <c r="T204">
        <f t="shared" si="19"/>
        <v>5</v>
      </c>
    </row>
    <row r="205" spans="1:20">
      <c r="A205" t="s">
        <v>415</v>
      </c>
      <c r="B205" s="2">
        <v>45721</v>
      </c>
      <c r="C205" t="s">
        <v>112</v>
      </c>
      <c r="D205" t="s">
        <v>113</v>
      </c>
      <c r="E205" t="s">
        <v>103</v>
      </c>
      <c r="F205" t="s">
        <v>25</v>
      </c>
      <c r="G205" t="s">
        <v>104</v>
      </c>
      <c r="H205" t="s">
        <v>36</v>
      </c>
      <c r="I205" t="s">
        <v>115</v>
      </c>
      <c r="J205" t="s">
        <v>116</v>
      </c>
      <c r="K205">
        <v>3</v>
      </c>
      <c r="L205">
        <v>71400</v>
      </c>
      <c r="M205" s="7">
        <v>0.15</v>
      </c>
      <c r="N205">
        <v>14281.66</v>
      </c>
      <c r="O205" t="s">
        <v>71</v>
      </c>
      <c r="P205">
        <f t="shared" si="15"/>
        <v>2025</v>
      </c>
      <c r="Q205" t="str">
        <f t="shared" si="16"/>
        <v>Mar</v>
      </c>
      <c r="R205" s="3">
        <f t="shared" si="17"/>
        <v>0.20002324929971987</v>
      </c>
      <c r="S205" t="str">
        <f t="shared" si="18"/>
        <v>High</v>
      </c>
      <c r="T205">
        <f t="shared" si="19"/>
        <v>3</v>
      </c>
    </row>
    <row r="206" spans="1:20">
      <c r="A206" t="s">
        <v>416</v>
      </c>
      <c r="B206" s="2">
        <v>45912</v>
      </c>
      <c r="C206" t="s">
        <v>230</v>
      </c>
      <c r="D206" t="s">
        <v>231</v>
      </c>
      <c r="E206" t="s">
        <v>24</v>
      </c>
      <c r="F206" t="s">
        <v>25</v>
      </c>
      <c r="G206" t="s">
        <v>26</v>
      </c>
      <c r="H206" t="s">
        <v>59</v>
      </c>
      <c r="I206" t="s">
        <v>96</v>
      </c>
      <c r="J206" t="s">
        <v>61</v>
      </c>
      <c r="K206">
        <v>4</v>
      </c>
      <c r="L206">
        <v>6480</v>
      </c>
      <c r="M206" s="7">
        <v>0.1</v>
      </c>
      <c r="N206">
        <v>1502.58</v>
      </c>
      <c r="O206" t="s">
        <v>83</v>
      </c>
      <c r="P206">
        <f t="shared" si="15"/>
        <v>2025</v>
      </c>
      <c r="Q206" t="str">
        <f t="shared" si="16"/>
        <v>Sep</v>
      </c>
      <c r="R206" s="3">
        <f t="shared" si="17"/>
        <v>0.23187962962962963</v>
      </c>
      <c r="S206" t="str">
        <f t="shared" si="18"/>
        <v>Low</v>
      </c>
      <c r="T206">
        <f t="shared" si="19"/>
        <v>9</v>
      </c>
    </row>
    <row r="207" spans="1:20">
      <c r="A207" t="s">
        <v>417</v>
      </c>
      <c r="B207" s="2">
        <v>45878</v>
      </c>
      <c r="C207" t="s">
        <v>22</v>
      </c>
      <c r="D207" t="s">
        <v>23</v>
      </c>
      <c r="E207" t="s">
        <v>70</v>
      </c>
      <c r="F207" t="s">
        <v>25</v>
      </c>
      <c r="G207" t="s">
        <v>26</v>
      </c>
      <c r="H207" t="s">
        <v>27</v>
      </c>
      <c r="I207" t="s">
        <v>28</v>
      </c>
      <c r="J207" t="s">
        <v>29</v>
      </c>
      <c r="K207">
        <v>5</v>
      </c>
      <c r="L207">
        <v>4200</v>
      </c>
      <c r="M207" s="7">
        <v>0.3</v>
      </c>
      <c r="N207">
        <v>143.05000000000001</v>
      </c>
      <c r="O207" t="s">
        <v>83</v>
      </c>
      <c r="P207">
        <f t="shared" si="15"/>
        <v>2025</v>
      </c>
      <c r="Q207" t="str">
        <f t="shared" si="16"/>
        <v>Aug</v>
      </c>
      <c r="R207" s="3">
        <f t="shared" si="17"/>
        <v>3.405952380952381E-2</v>
      </c>
      <c r="S207" t="str">
        <f t="shared" si="18"/>
        <v>Low</v>
      </c>
      <c r="T207">
        <f t="shared" si="19"/>
        <v>8</v>
      </c>
    </row>
    <row r="208" spans="1:20">
      <c r="A208" t="s">
        <v>418</v>
      </c>
      <c r="B208" s="2">
        <v>45996</v>
      </c>
      <c r="C208" t="s">
        <v>419</v>
      </c>
      <c r="D208" t="s">
        <v>420</v>
      </c>
      <c r="E208" t="s">
        <v>160</v>
      </c>
      <c r="F208" t="s">
        <v>25</v>
      </c>
      <c r="G208" t="s">
        <v>161</v>
      </c>
      <c r="H208" t="s">
        <v>36</v>
      </c>
      <c r="I208" t="s">
        <v>89</v>
      </c>
      <c r="J208" t="s">
        <v>90</v>
      </c>
      <c r="K208">
        <v>3</v>
      </c>
      <c r="L208">
        <v>8640</v>
      </c>
      <c r="M208" s="7">
        <v>0.1</v>
      </c>
      <c r="N208">
        <v>1133.93</v>
      </c>
      <c r="O208" t="s">
        <v>39</v>
      </c>
      <c r="P208">
        <f t="shared" si="15"/>
        <v>2025</v>
      </c>
      <c r="Q208" t="str">
        <f t="shared" si="16"/>
        <v>Dec</v>
      </c>
      <c r="R208" s="3">
        <f t="shared" si="17"/>
        <v>0.13124189814814816</v>
      </c>
      <c r="S208" t="str">
        <f t="shared" si="18"/>
        <v>Low</v>
      </c>
      <c r="T208">
        <f t="shared" si="19"/>
        <v>12</v>
      </c>
    </row>
    <row r="209" spans="1:20">
      <c r="A209" t="s">
        <v>421</v>
      </c>
      <c r="B209" s="2">
        <v>45886</v>
      </c>
      <c r="C209" t="s">
        <v>262</v>
      </c>
      <c r="D209" t="s">
        <v>94</v>
      </c>
      <c r="E209" t="s">
        <v>160</v>
      </c>
      <c r="F209" t="s">
        <v>25</v>
      </c>
      <c r="G209" t="s">
        <v>161</v>
      </c>
      <c r="H209" t="s">
        <v>36</v>
      </c>
      <c r="I209" t="s">
        <v>89</v>
      </c>
      <c r="J209" t="s">
        <v>90</v>
      </c>
      <c r="K209">
        <v>1</v>
      </c>
      <c r="L209">
        <v>2400</v>
      </c>
      <c r="M209" s="7">
        <v>0.25</v>
      </c>
      <c r="N209">
        <v>436.73</v>
      </c>
      <c r="O209" t="s">
        <v>71</v>
      </c>
      <c r="P209">
        <f t="shared" si="15"/>
        <v>2025</v>
      </c>
      <c r="Q209" t="str">
        <f t="shared" si="16"/>
        <v>Aug</v>
      </c>
      <c r="R209" s="3">
        <f t="shared" si="17"/>
        <v>0.18197083333333333</v>
      </c>
      <c r="S209" t="str">
        <f t="shared" si="18"/>
        <v>Low</v>
      </c>
      <c r="T209">
        <f t="shared" si="19"/>
        <v>8</v>
      </c>
    </row>
    <row r="210" spans="1:20">
      <c r="A210" t="s">
        <v>422</v>
      </c>
      <c r="B210" s="2">
        <v>45687</v>
      </c>
      <c r="C210" t="s">
        <v>227</v>
      </c>
      <c r="D210" t="s">
        <v>228</v>
      </c>
      <c r="E210" t="s">
        <v>147</v>
      </c>
      <c r="F210" t="s">
        <v>76</v>
      </c>
      <c r="G210" t="s">
        <v>77</v>
      </c>
      <c r="H210" t="s">
        <v>27</v>
      </c>
      <c r="I210" t="s">
        <v>65</v>
      </c>
      <c r="J210" t="s">
        <v>66</v>
      </c>
      <c r="K210">
        <v>1</v>
      </c>
      <c r="L210">
        <v>187.5</v>
      </c>
      <c r="M210" s="7">
        <v>0.25</v>
      </c>
      <c r="N210">
        <v>25.27</v>
      </c>
      <c r="O210" t="s">
        <v>39</v>
      </c>
      <c r="P210">
        <f t="shared" si="15"/>
        <v>2025</v>
      </c>
      <c r="Q210" t="str">
        <f t="shared" si="16"/>
        <v>Jan</v>
      </c>
      <c r="R210" s="3">
        <f t="shared" si="17"/>
        <v>0.13477333333333333</v>
      </c>
      <c r="S210" t="str">
        <f t="shared" si="18"/>
        <v>Low</v>
      </c>
      <c r="T210">
        <f t="shared" si="19"/>
        <v>1</v>
      </c>
    </row>
    <row r="211" spans="1:20">
      <c r="A211" t="s">
        <v>423</v>
      </c>
      <c r="B211" s="2">
        <v>45969</v>
      </c>
      <c r="C211" t="s">
        <v>145</v>
      </c>
      <c r="D211" t="s">
        <v>146</v>
      </c>
      <c r="E211" t="s">
        <v>24</v>
      </c>
      <c r="F211" t="s">
        <v>25</v>
      </c>
      <c r="G211" t="s">
        <v>26</v>
      </c>
      <c r="H211" t="s">
        <v>36</v>
      </c>
      <c r="I211" t="s">
        <v>115</v>
      </c>
      <c r="J211" t="s">
        <v>116</v>
      </c>
      <c r="K211">
        <v>4</v>
      </c>
      <c r="L211">
        <v>7200</v>
      </c>
      <c r="M211" s="7">
        <v>0</v>
      </c>
      <c r="N211">
        <v>757.77</v>
      </c>
      <c r="O211" t="s">
        <v>91</v>
      </c>
      <c r="P211">
        <f t="shared" si="15"/>
        <v>2025</v>
      </c>
      <c r="Q211" t="str">
        <f t="shared" si="16"/>
        <v>Nov</v>
      </c>
      <c r="R211" s="3">
        <f t="shared" si="17"/>
        <v>0.10524583333333333</v>
      </c>
      <c r="S211" t="str">
        <f t="shared" si="18"/>
        <v>Low</v>
      </c>
      <c r="T211">
        <f t="shared" si="19"/>
        <v>11</v>
      </c>
    </row>
    <row r="212" spans="1:20">
      <c r="A212" t="s">
        <v>424</v>
      </c>
      <c r="B212" s="2">
        <v>45948</v>
      </c>
      <c r="C212" t="s">
        <v>317</v>
      </c>
      <c r="D212" t="s">
        <v>318</v>
      </c>
      <c r="E212" t="s">
        <v>43</v>
      </c>
      <c r="F212" t="s">
        <v>44</v>
      </c>
      <c r="G212" t="s">
        <v>45</v>
      </c>
      <c r="H212" t="s">
        <v>59</v>
      </c>
      <c r="I212" t="s">
        <v>81</v>
      </c>
      <c r="J212" t="s">
        <v>82</v>
      </c>
      <c r="K212">
        <v>1</v>
      </c>
      <c r="L212">
        <v>6800</v>
      </c>
      <c r="M212" s="7">
        <v>0.2</v>
      </c>
      <c r="N212">
        <v>327.7</v>
      </c>
      <c r="O212" t="s">
        <v>91</v>
      </c>
      <c r="P212">
        <f t="shared" si="15"/>
        <v>2025</v>
      </c>
      <c r="Q212" t="str">
        <f t="shared" si="16"/>
        <v>Oct</v>
      </c>
      <c r="R212" s="3">
        <f t="shared" si="17"/>
        <v>4.819117647058823E-2</v>
      </c>
      <c r="S212" t="str">
        <f t="shared" si="18"/>
        <v>Low</v>
      </c>
      <c r="T212">
        <f t="shared" si="19"/>
        <v>10</v>
      </c>
    </row>
    <row r="213" spans="1:20">
      <c r="A213" t="s">
        <v>425</v>
      </c>
      <c r="B213" s="2">
        <v>45697</v>
      </c>
      <c r="C213" t="s">
        <v>394</v>
      </c>
      <c r="D213" t="s">
        <v>216</v>
      </c>
      <c r="E213" t="s">
        <v>87</v>
      </c>
      <c r="F213" t="s">
        <v>44</v>
      </c>
      <c r="G213" t="s">
        <v>88</v>
      </c>
      <c r="H213" t="s">
        <v>36</v>
      </c>
      <c r="I213" t="s">
        <v>37</v>
      </c>
      <c r="J213" t="s">
        <v>38</v>
      </c>
      <c r="K213">
        <v>5</v>
      </c>
      <c r="L213">
        <v>57000</v>
      </c>
      <c r="M213" s="7">
        <v>0.05</v>
      </c>
      <c r="N213">
        <v>9742.24</v>
      </c>
      <c r="O213" t="s">
        <v>91</v>
      </c>
      <c r="P213">
        <f t="shared" si="15"/>
        <v>2025</v>
      </c>
      <c r="Q213" t="str">
        <f t="shared" si="16"/>
        <v>Feb</v>
      </c>
      <c r="R213" s="3">
        <f t="shared" si="17"/>
        <v>0.17091649122807018</v>
      </c>
      <c r="S213" t="str">
        <f t="shared" si="18"/>
        <v>High</v>
      </c>
      <c r="T213">
        <f t="shared" si="19"/>
        <v>2</v>
      </c>
    </row>
    <row r="214" spans="1:20">
      <c r="A214" t="s">
        <v>426</v>
      </c>
      <c r="B214" s="2">
        <v>45671</v>
      </c>
      <c r="C214" t="s">
        <v>427</v>
      </c>
      <c r="D214" t="s">
        <v>428</v>
      </c>
      <c r="E214" t="s">
        <v>70</v>
      </c>
      <c r="F214" t="s">
        <v>25</v>
      </c>
      <c r="G214" t="s">
        <v>26</v>
      </c>
      <c r="H214" t="s">
        <v>27</v>
      </c>
      <c r="I214" t="s">
        <v>65</v>
      </c>
      <c r="J214" t="s">
        <v>66</v>
      </c>
      <c r="K214">
        <v>2</v>
      </c>
      <c r="L214">
        <v>2040</v>
      </c>
      <c r="M214" s="7">
        <v>0.15</v>
      </c>
      <c r="N214">
        <v>243.35</v>
      </c>
      <c r="O214" t="s">
        <v>83</v>
      </c>
      <c r="P214">
        <f t="shared" si="15"/>
        <v>2025</v>
      </c>
      <c r="Q214" t="str">
        <f t="shared" si="16"/>
        <v>Jan</v>
      </c>
      <c r="R214" s="3">
        <f t="shared" si="17"/>
        <v>0.11928921568627451</v>
      </c>
      <c r="S214" t="str">
        <f t="shared" si="18"/>
        <v>Low</v>
      </c>
      <c r="T214">
        <f t="shared" si="19"/>
        <v>1</v>
      </c>
    </row>
    <row r="215" spans="1:20">
      <c r="A215" t="s">
        <v>429</v>
      </c>
      <c r="B215" s="2">
        <v>45791</v>
      </c>
      <c r="C215" t="s">
        <v>79</v>
      </c>
      <c r="D215" t="s">
        <v>80</v>
      </c>
      <c r="E215" t="s">
        <v>114</v>
      </c>
      <c r="F215" t="s">
        <v>57</v>
      </c>
      <c r="G215" t="s">
        <v>58</v>
      </c>
      <c r="H215" t="s">
        <v>59</v>
      </c>
      <c r="I215" t="s">
        <v>81</v>
      </c>
      <c r="J215" t="s">
        <v>82</v>
      </c>
      <c r="K215">
        <v>4</v>
      </c>
      <c r="L215">
        <v>2660</v>
      </c>
      <c r="M215" s="7">
        <v>0.05</v>
      </c>
      <c r="N215">
        <v>706.77</v>
      </c>
      <c r="O215" t="s">
        <v>71</v>
      </c>
      <c r="P215">
        <f t="shared" si="15"/>
        <v>2025</v>
      </c>
      <c r="Q215" t="str">
        <f t="shared" si="16"/>
        <v>May</v>
      </c>
      <c r="R215" s="3">
        <f t="shared" si="17"/>
        <v>0.265703007518797</v>
      </c>
      <c r="S215" t="str">
        <f t="shared" si="18"/>
        <v>Low</v>
      </c>
      <c r="T215">
        <f t="shared" si="19"/>
        <v>5</v>
      </c>
    </row>
    <row r="216" spans="1:20">
      <c r="A216" t="s">
        <v>430</v>
      </c>
      <c r="B216" s="2">
        <v>45727</v>
      </c>
      <c r="C216" t="s">
        <v>140</v>
      </c>
      <c r="D216" t="s">
        <v>141</v>
      </c>
      <c r="E216" t="s">
        <v>70</v>
      </c>
      <c r="F216" t="s">
        <v>25</v>
      </c>
      <c r="G216" t="s">
        <v>26</v>
      </c>
      <c r="H216" t="s">
        <v>127</v>
      </c>
      <c r="I216" t="s">
        <v>128</v>
      </c>
      <c r="J216" t="s">
        <v>129</v>
      </c>
      <c r="K216">
        <v>1</v>
      </c>
      <c r="L216">
        <v>1020</v>
      </c>
      <c r="M216" s="7">
        <v>0.15</v>
      </c>
      <c r="N216">
        <v>58.94</v>
      </c>
      <c r="O216" t="s">
        <v>83</v>
      </c>
      <c r="P216">
        <f t="shared" si="15"/>
        <v>2025</v>
      </c>
      <c r="Q216" t="str">
        <f t="shared" si="16"/>
        <v>Mar</v>
      </c>
      <c r="R216" s="3">
        <f t="shared" si="17"/>
        <v>5.7784313725490193E-2</v>
      </c>
      <c r="S216" t="str">
        <f t="shared" si="18"/>
        <v>Low</v>
      </c>
      <c r="T216">
        <f t="shared" si="19"/>
        <v>3</v>
      </c>
    </row>
    <row r="217" spans="1:20">
      <c r="A217" t="s">
        <v>431</v>
      </c>
      <c r="B217" s="2">
        <v>45835</v>
      </c>
      <c r="C217" t="s">
        <v>240</v>
      </c>
      <c r="D217" t="s">
        <v>33</v>
      </c>
      <c r="E217" t="s">
        <v>147</v>
      </c>
      <c r="F217" t="s">
        <v>76</v>
      </c>
      <c r="G217" t="s">
        <v>77</v>
      </c>
      <c r="H217" t="s">
        <v>27</v>
      </c>
      <c r="I217" t="s">
        <v>65</v>
      </c>
      <c r="J217" t="s">
        <v>66</v>
      </c>
      <c r="K217">
        <v>1</v>
      </c>
      <c r="L217">
        <v>200</v>
      </c>
      <c r="M217" s="7">
        <v>0.2</v>
      </c>
      <c r="N217">
        <v>20.77</v>
      </c>
      <c r="O217" t="s">
        <v>39</v>
      </c>
      <c r="P217">
        <f t="shared" si="15"/>
        <v>2025</v>
      </c>
      <c r="Q217" t="str">
        <f t="shared" si="16"/>
        <v>Jun</v>
      </c>
      <c r="R217" s="3">
        <f t="shared" si="17"/>
        <v>0.10385</v>
      </c>
      <c r="S217" t="str">
        <f t="shared" si="18"/>
        <v>Low</v>
      </c>
      <c r="T217">
        <f t="shared" si="19"/>
        <v>6</v>
      </c>
    </row>
    <row r="218" spans="1:20">
      <c r="A218" t="s">
        <v>432</v>
      </c>
      <c r="B218" s="2">
        <v>45843</v>
      </c>
      <c r="C218" t="s">
        <v>372</v>
      </c>
      <c r="D218" t="s">
        <v>373</v>
      </c>
      <c r="E218" t="s">
        <v>114</v>
      </c>
      <c r="F218" t="s">
        <v>57</v>
      </c>
      <c r="G218" t="s">
        <v>58</v>
      </c>
      <c r="H218" t="s">
        <v>27</v>
      </c>
      <c r="I218" t="s">
        <v>46</v>
      </c>
      <c r="J218" t="s">
        <v>46</v>
      </c>
      <c r="K218">
        <v>5</v>
      </c>
      <c r="L218">
        <v>3325</v>
      </c>
      <c r="M218" s="7">
        <v>0.05</v>
      </c>
      <c r="N218">
        <v>305.10000000000002</v>
      </c>
      <c r="O218" t="s">
        <v>39</v>
      </c>
      <c r="P218">
        <f t="shared" si="15"/>
        <v>2025</v>
      </c>
      <c r="Q218" t="str">
        <f t="shared" si="16"/>
        <v>Jul</v>
      </c>
      <c r="R218" s="3">
        <f t="shared" si="17"/>
        <v>9.175939849624061E-2</v>
      </c>
      <c r="S218" t="str">
        <f t="shared" si="18"/>
        <v>Low</v>
      </c>
      <c r="T218">
        <f t="shared" si="19"/>
        <v>7</v>
      </c>
    </row>
    <row r="219" spans="1:20">
      <c r="A219" t="s">
        <v>433</v>
      </c>
      <c r="B219" s="2">
        <v>45910</v>
      </c>
      <c r="C219" t="s">
        <v>172</v>
      </c>
      <c r="D219" t="s">
        <v>173</v>
      </c>
      <c r="E219" t="s">
        <v>114</v>
      </c>
      <c r="F219" t="s">
        <v>57</v>
      </c>
      <c r="G219" t="s">
        <v>58</v>
      </c>
      <c r="H219" t="s">
        <v>27</v>
      </c>
      <c r="I219" t="s">
        <v>46</v>
      </c>
      <c r="J219" t="s">
        <v>46</v>
      </c>
      <c r="K219">
        <v>1</v>
      </c>
      <c r="L219">
        <v>630</v>
      </c>
      <c r="M219" s="7">
        <v>0.1</v>
      </c>
      <c r="N219">
        <v>101.8</v>
      </c>
      <c r="O219" t="s">
        <v>30</v>
      </c>
      <c r="P219">
        <f t="shared" si="15"/>
        <v>2025</v>
      </c>
      <c r="Q219" t="str">
        <f t="shared" si="16"/>
        <v>Sep</v>
      </c>
      <c r="R219" s="3">
        <f t="shared" si="17"/>
        <v>0.16158730158730158</v>
      </c>
      <c r="S219" t="str">
        <f t="shared" si="18"/>
        <v>Low</v>
      </c>
      <c r="T219">
        <f t="shared" si="19"/>
        <v>9</v>
      </c>
    </row>
    <row r="220" spans="1:20">
      <c r="A220" t="s">
        <v>434</v>
      </c>
      <c r="B220" s="2">
        <v>45702</v>
      </c>
      <c r="C220" t="s">
        <v>93</v>
      </c>
      <c r="D220" t="s">
        <v>94</v>
      </c>
      <c r="E220" t="s">
        <v>75</v>
      </c>
      <c r="F220" t="s">
        <v>76</v>
      </c>
      <c r="G220" t="s">
        <v>77</v>
      </c>
      <c r="H220" t="s">
        <v>59</v>
      </c>
      <c r="I220" t="s">
        <v>96</v>
      </c>
      <c r="J220" t="s">
        <v>61</v>
      </c>
      <c r="K220">
        <v>1</v>
      </c>
      <c r="L220">
        <v>162</v>
      </c>
      <c r="M220" s="7">
        <v>0.1</v>
      </c>
      <c r="N220">
        <v>19.72</v>
      </c>
      <c r="O220" t="s">
        <v>71</v>
      </c>
      <c r="P220">
        <f t="shared" si="15"/>
        <v>2025</v>
      </c>
      <c r="Q220" t="str">
        <f t="shared" si="16"/>
        <v>Feb</v>
      </c>
      <c r="R220" s="3">
        <f t="shared" si="17"/>
        <v>0.12172839506172839</v>
      </c>
      <c r="S220" t="str">
        <f t="shared" si="18"/>
        <v>Low</v>
      </c>
      <c r="T220">
        <f t="shared" si="19"/>
        <v>2</v>
      </c>
    </row>
    <row r="221" spans="1:20">
      <c r="A221" t="s">
        <v>435</v>
      </c>
      <c r="B221" s="2">
        <v>45867</v>
      </c>
      <c r="C221" t="s">
        <v>242</v>
      </c>
      <c r="D221" t="s">
        <v>23</v>
      </c>
      <c r="E221" t="s">
        <v>43</v>
      </c>
      <c r="F221" t="s">
        <v>44</v>
      </c>
      <c r="G221" t="s">
        <v>45</v>
      </c>
      <c r="H221" t="s">
        <v>36</v>
      </c>
      <c r="I221" t="s">
        <v>37</v>
      </c>
      <c r="J221" t="s">
        <v>38</v>
      </c>
      <c r="K221">
        <v>5</v>
      </c>
      <c r="L221">
        <v>42500</v>
      </c>
      <c r="M221" s="7">
        <v>0</v>
      </c>
      <c r="N221">
        <v>4465.28</v>
      </c>
      <c r="O221" t="s">
        <v>83</v>
      </c>
      <c r="P221">
        <f t="shared" si="15"/>
        <v>2025</v>
      </c>
      <c r="Q221" t="str">
        <f t="shared" si="16"/>
        <v>Jul</v>
      </c>
      <c r="R221" s="3">
        <f t="shared" si="17"/>
        <v>0.10506541176470588</v>
      </c>
      <c r="S221" t="str">
        <f t="shared" si="18"/>
        <v>High</v>
      </c>
      <c r="T221">
        <f t="shared" si="19"/>
        <v>7</v>
      </c>
    </row>
    <row r="222" spans="1:20">
      <c r="A222" t="s">
        <v>436</v>
      </c>
      <c r="B222" s="2">
        <v>46006</v>
      </c>
      <c r="C222" t="s">
        <v>235</v>
      </c>
      <c r="D222" t="s">
        <v>236</v>
      </c>
      <c r="E222" t="s">
        <v>87</v>
      </c>
      <c r="F222" t="s">
        <v>44</v>
      </c>
      <c r="G222" t="s">
        <v>88</v>
      </c>
      <c r="H222" t="s">
        <v>59</v>
      </c>
      <c r="I222" t="s">
        <v>81</v>
      </c>
      <c r="J222" t="s">
        <v>82</v>
      </c>
      <c r="K222">
        <v>5</v>
      </c>
      <c r="L222">
        <v>54000</v>
      </c>
      <c r="M222" s="7">
        <v>0.1</v>
      </c>
      <c r="N222">
        <v>3506.79</v>
      </c>
      <c r="O222" t="s">
        <v>30</v>
      </c>
      <c r="P222">
        <f t="shared" si="15"/>
        <v>2025</v>
      </c>
      <c r="Q222" t="str">
        <f t="shared" si="16"/>
        <v>Dec</v>
      </c>
      <c r="R222" s="3">
        <f t="shared" si="17"/>
        <v>6.4940555555555557E-2</v>
      </c>
      <c r="S222" t="str">
        <f t="shared" si="18"/>
        <v>High</v>
      </c>
      <c r="T222">
        <f t="shared" si="19"/>
        <v>12</v>
      </c>
    </row>
    <row r="223" spans="1:20">
      <c r="A223" t="s">
        <v>437</v>
      </c>
      <c r="B223" s="2">
        <v>45724</v>
      </c>
      <c r="C223" t="s">
        <v>438</v>
      </c>
      <c r="D223" t="s">
        <v>439</v>
      </c>
      <c r="E223" t="s">
        <v>24</v>
      </c>
      <c r="F223" t="s">
        <v>25</v>
      </c>
      <c r="G223" t="s">
        <v>26</v>
      </c>
      <c r="H223" t="s">
        <v>127</v>
      </c>
      <c r="I223" t="s">
        <v>128</v>
      </c>
      <c r="J223" t="s">
        <v>129</v>
      </c>
      <c r="K223">
        <v>4</v>
      </c>
      <c r="L223">
        <v>5760</v>
      </c>
      <c r="M223" s="7">
        <v>0.2</v>
      </c>
      <c r="N223">
        <v>1263.58</v>
      </c>
      <c r="O223" t="s">
        <v>83</v>
      </c>
      <c r="P223">
        <f t="shared" si="15"/>
        <v>2025</v>
      </c>
      <c r="Q223" t="str">
        <f t="shared" si="16"/>
        <v>Mar</v>
      </c>
      <c r="R223" s="3">
        <f t="shared" si="17"/>
        <v>0.21937152777777777</v>
      </c>
      <c r="S223" t="str">
        <f t="shared" si="18"/>
        <v>Low</v>
      </c>
      <c r="T223">
        <f t="shared" si="19"/>
        <v>3</v>
      </c>
    </row>
    <row r="224" spans="1:20">
      <c r="A224" t="s">
        <v>440</v>
      </c>
      <c r="B224" s="2">
        <v>45813</v>
      </c>
      <c r="C224" t="s">
        <v>441</v>
      </c>
      <c r="D224" t="s">
        <v>313</v>
      </c>
      <c r="E224" t="s">
        <v>24</v>
      </c>
      <c r="F224" t="s">
        <v>25</v>
      </c>
      <c r="G224" t="s">
        <v>26</v>
      </c>
      <c r="H224" t="s">
        <v>36</v>
      </c>
      <c r="I224" t="s">
        <v>37</v>
      </c>
      <c r="J224" t="s">
        <v>38</v>
      </c>
      <c r="K224">
        <v>2</v>
      </c>
      <c r="L224">
        <v>3420</v>
      </c>
      <c r="M224" s="7">
        <v>0.05</v>
      </c>
      <c r="N224">
        <v>429.78</v>
      </c>
      <c r="O224" t="s">
        <v>91</v>
      </c>
      <c r="P224">
        <f t="shared" si="15"/>
        <v>2025</v>
      </c>
      <c r="Q224" t="str">
        <f t="shared" si="16"/>
        <v>Jun</v>
      </c>
      <c r="R224" s="3">
        <f t="shared" si="17"/>
        <v>0.12566666666666665</v>
      </c>
      <c r="S224" t="str">
        <f t="shared" si="18"/>
        <v>Low</v>
      </c>
      <c r="T224">
        <f t="shared" si="19"/>
        <v>6</v>
      </c>
    </row>
    <row r="225" spans="1:20">
      <c r="A225" t="s">
        <v>442</v>
      </c>
      <c r="B225" s="2">
        <v>45803</v>
      </c>
      <c r="C225" t="s">
        <v>441</v>
      </c>
      <c r="D225" t="s">
        <v>313</v>
      </c>
      <c r="E225" t="s">
        <v>95</v>
      </c>
      <c r="F225" t="s">
        <v>25</v>
      </c>
      <c r="G225" t="s">
        <v>26</v>
      </c>
      <c r="H225" t="s">
        <v>36</v>
      </c>
      <c r="I225" t="s">
        <v>37</v>
      </c>
      <c r="J225" t="s">
        <v>38</v>
      </c>
      <c r="K225">
        <v>1</v>
      </c>
      <c r="L225">
        <v>405</v>
      </c>
      <c r="M225" s="7">
        <v>0.1</v>
      </c>
      <c r="N225">
        <v>30.52</v>
      </c>
      <c r="O225" t="s">
        <v>91</v>
      </c>
      <c r="P225">
        <f t="shared" si="15"/>
        <v>2025</v>
      </c>
      <c r="Q225" t="str">
        <f t="shared" si="16"/>
        <v>May</v>
      </c>
      <c r="R225" s="3">
        <f t="shared" si="17"/>
        <v>7.5358024691358022E-2</v>
      </c>
      <c r="S225" t="str">
        <f t="shared" si="18"/>
        <v>Low</v>
      </c>
      <c r="T225">
        <f t="shared" si="19"/>
        <v>5</v>
      </c>
    </row>
    <row r="226" spans="1:20">
      <c r="A226" t="s">
        <v>443</v>
      </c>
      <c r="B226" s="2">
        <v>45813</v>
      </c>
      <c r="C226" t="s">
        <v>93</v>
      </c>
      <c r="D226" t="s">
        <v>94</v>
      </c>
      <c r="E226" t="s">
        <v>147</v>
      </c>
      <c r="F226" t="s">
        <v>76</v>
      </c>
      <c r="G226" t="s">
        <v>77</v>
      </c>
      <c r="H226" t="s">
        <v>59</v>
      </c>
      <c r="I226" t="s">
        <v>96</v>
      </c>
      <c r="J226" t="s">
        <v>61</v>
      </c>
      <c r="K226">
        <v>5</v>
      </c>
      <c r="L226">
        <v>1000</v>
      </c>
      <c r="M226" s="7">
        <v>0.2</v>
      </c>
      <c r="N226">
        <v>26.64</v>
      </c>
      <c r="O226" t="s">
        <v>30</v>
      </c>
      <c r="P226">
        <f t="shared" si="15"/>
        <v>2025</v>
      </c>
      <c r="Q226" t="str">
        <f t="shared" si="16"/>
        <v>Jun</v>
      </c>
      <c r="R226" s="3">
        <f t="shared" si="17"/>
        <v>2.664E-2</v>
      </c>
      <c r="S226" t="str">
        <f t="shared" si="18"/>
        <v>Low</v>
      </c>
      <c r="T226">
        <f t="shared" si="19"/>
        <v>6</v>
      </c>
    </row>
    <row r="227" spans="1:20">
      <c r="A227" t="s">
        <v>444</v>
      </c>
      <c r="B227" s="2">
        <v>45745</v>
      </c>
      <c r="C227" t="s">
        <v>73</v>
      </c>
      <c r="D227" t="s">
        <v>74</v>
      </c>
      <c r="E227" t="s">
        <v>24</v>
      </c>
      <c r="F227" t="s">
        <v>25</v>
      </c>
      <c r="G227" t="s">
        <v>26</v>
      </c>
      <c r="H227" t="s">
        <v>27</v>
      </c>
      <c r="I227" t="s">
        <v>46</v>
      </c>
      <c r="J227" t="s">
        <v>46</v>
      </c>
      <c r="K227">
        <v>5</v>
      </c>
      <c r="L227">
        <v>6750</v>
      </c>
      <c r="M227" s="7">
        <v>0.25</v>
      </c>
      <c r="N227">
        <v>1277.77</v>
      </c>
      <c r="O227" t="s">
        <v>30</v>
      </c>
      <c r="P227">
        <f t="shared" si="15"/>
        <v>2025</v>
      </c>
      <c r="Q227" t="str">
        <f t="shared" si="16"/>
        <v>Mar</v>
      </c>
      <c r="R227" s="3">
        <f t="shared" si="17"/>
        <v>0.18929925925925925</v>
      </c>
      <c r="S227" t="str">
        <f t="shared" si="18"/>
        <v>Low</v>
      </c>
      <c r="T227">
        <f t="shared" si="19"/>
        <v>3</v>
      </c>
    </row>
    <row r="228" spans="1:20">
      <c r="A228" t="s">
        <v>445</v>
      </c>
      <c r="B228" s="2">
        <v>45672</v>
      </c>
      <c r="C228" t="s">
        <v>292</v>
      </c>
      <c r="D228" t="s">
        <v>293</v>
      </c>
      <c r="E228" t="s">
        <v>142</v>
      </c>
      <c r="F228" t="s">
        <v>25</v>
      </c>
      <c r="G228" t="s">
        <v>143</v>
      </c>
      <c r="H228" t="s">
        <v>27</v>
      </c>
      <c r="I228" t="s">
        <v>28</v>
      </c>
      <c r="J228" t="s">
        <v>29</v>
      </c>
      <c r="K228">
        <v>1</v>
      </c>
      <c r="L228">
        <v>11500</v>
      </c>
      <c r="M228" s="7">
        <v>0</v>
      </c>
      <c r="N228">
        <v>3101.66</v>
      </c>
      <c r="O228" t="s">
        <v>91</v>
      </c>
      <c r="P228">
        <f t="shared" si="15"/>
        <v>2025</v>
      </c>
      <c r="Q228" t="str">
        <f t="shared" si="16"/>
        <v>Jan</v>
      </c>
      <c r="R228" s="3">
        <f t="shared" si="17"/>
        <v>0.26970956521739131</v>
      </c>
      <c r="S228" t="str">
        <f t="shared" si="18"/>
        <v>Low</v>
      </c>
      <c r="T228">
        <f t="shared" si="19"/>
        <v>1</v>
      </c>
    </row>
    <row r="229" spans="1:20">
      <c r="A229" t="s">
        <v>446</v>
      </c>
      <c r="B229" s="2">
        <v>45950</v>
      </c>
      <c r="C229" t="s">
        <v>106</v>
      </c>
      <c r="D229" t="s">
        <v>107</v>
      </c>
      <c r="E229" t="s">
        <v>114</v>
      </c>
      <c r="F229" t="s">
        <v>57</v>
      </c>
      <c r="G229" t="s">
        <v>58</v>
      </c>
      <c r="H229" t="s">
        <v>59</v>
      </c>
      <c r="I229" t="s">
        <v>81</v>
      </c>
      <c r="J229" t="s">
        <v>82</v>
      </c>
      <c r="K229">
        <v>4</v>
      </c>
      <c r="L229">
        <v>2240</v>
      </c>
      <c r="M229" s="7">
        <v>0.2</v>
      </c>
      <c r="N229">
        <v>320.08999999999997</v>
      </c>
      <c r="O229" t="s">
        <v>30</v>
      </c>
      <c r="P229">
        <f t="shared" si="15"/>
        <v>2025</v>
      </c>
      <c r="Q229" t="str">
        <f t="shared" si="16"/>
        <v>Oct</v>
      </c>
      <c r="R229" s="3">
        <f t="shared" si="17"/>
        <v>0.14289732142857142</v>
      </c>
      <c r="S229" t="str">
        <f t="shared" si="18"/>
        <v>Low</v>
      </c>
      <c r="T229">
        <f t="shared" si="19"/>
        <v>10</v>
      </c>
    </row>
    <row r="230" spans="1:20">
      <c r="A230" t="s">
        <v>447</v>
      </c>
      <c r="B230" s="2">
        <v>45812</v>
      </c>
      <c r="C230" t="s">
        <v>245</v>
      </c>
      <c r="D230" t="s">
        <v>52</v>
      </c>
      <c r="E230" t="s">
        <v>147</v>
      </c>
      <c r="F230" t="s">
        <v>76</v>
      </c>
      <c r="G230" t="s">
        <v>77</v>
      </c>
      <c r="H230" t="s">
        <v>36</v>
      </c>
      <c r="I230" t="s">
        <v>37</v>
      </c>
      <c r="J230" t="s">
        <v>38</v>
      </c>
      <c r="K230">
        <v>4</v>
      </c>
      <c r="L230">
        <v>950</v>
      </c>
      <c r="M230" s="7">
        <v>0.05</v>
      </c>
      <c r="N230">
        <v>211.26</v>
      </c>
      <c r="O230" t="s">
        <v>91</v>
      </c>
      <c r="P230">
        <f t="shared" si="15"/>
        <v>2025</v>
      </c>
      <c r="Q230" t="str">
        <f t="shared" si="16"/>
        <v>Jun</v>
      </c>
      <c r="R230" s="3">
        <f t="shared" si="17"/>
        <v>0.22237894736842104</v>
      </c>
      <c r="S230" t="str">
        <f t="shared" si="18"/>
        <v>Low</v>
      </c>
      <c r="T230">
        <f t="shared" si="19"/>
        <v>6</v>
      </c>
    </row>
    <row r="231" spans="1:20">
      <c r="A231" t="s">
        <v>448</v>
      </c>
      <c r="B231" s="2">
        <v>46010</v>
      </c>
      <c r="C231" t="s">
        <v>181</v>
      </c>
      <c r="D231" t="s">
        <v>182</v>
      </c>
      <c r="E231" t="s">
        <v>70</v>
      </c>
      <c r="F231" t="s">
        <v>25</v>
      </c>
      <c r="G231" t="s">
        <v>26</v>
      </c>
      <c r="H231" t="s">
        <v>59</v>
      </c>
      <c r="I231" t="s">
        <v>81</v>
      </c>
      <c r="J231" t="s">
        <v>82</v>
      </c>
      <c r="K231">
        <v>1</v>
      </c>
      <c r="L231">
        <v>1140</v>
      </c>
      <c r="M231" s="7">
        <v>0.05</v>
      </c>
      <c r="N231">
        <v>173.13</v>
      </c>
      <c r="O231" t="s">
        <v>39</v>
      </c>
      <c r="P231">
        <f t="shared" si="15"/>
        <v>2025</v>
      </c>
      <c r="Q231" t="str">
        <f t="shared" si="16"/>
        <v>Dec</v>
      </c>
      <c r="R231" s="3">
        <f t="shared" si="17"/>
        <v>0.15186842105263157</v>
      </c>
      <c r="S231" t="str">
        <f t="shared" si="18"/>
        <v>Low</v>
      </c>
      <c r="T231">
        <f t="shared" si="19"/>
        <v>12</v>
      </c>
    </row>
    <row r="232" spans="1:20">
      <c r="A232" t="s">
        <v>449</v>
      </c>
      <c r="B232" s="2">
        <v>45731</v>
      </c>
      <c r="C232" t="s">
        <v>230</v>
      </c>
      <c r="D232" t="s">
        <v>231</v>
      </c>
      <c r="E232" t="s">
        <v>75</v>
      </c>
      <c r="F232" t="s">
        <v>76</v>
      </c>
      <c r="G232" t="s">
        <v>77</v>
      </c>
      <c r="H232" t="s">
        <v>59</v>
      </c>
      <c r="I232" t="s">
        <v>96</v>
      </c>
      <c r="J232" t="s">
        <v>61</v>
      </c>
      <c r="K232">
        <v>3</v>
      </c>
      <c r="L232">
        <v>378</v>
      </c>
      <c r="M232" s="7">
        <v>0.3</v>
      </c>
      <c r="N232">
        <v>41.05</v>
      </c>
      <c r="O232" t="s">
        <v>91</v>
      </c>
      <c r="P232">
        <f t="shared" si="15"/>
        <v>2025</v>
      </c>
      <c r="Q232" t="str">
        <f t="shared" si="16"/>
        <v>Mar</v>
      </c>
      <c r="R232" s="3">
        <f t="shared" si="17"/>
        <v>0.1085978835978836</v>
      </c>
      <c r="S232" t="str">
        <f t="shared" si="18"/>
        <v>Low</v>
      </c>
      <c r="T232">
        <f t="shared" si="19"/>
        <v>3</v>
      </c>
    </row>
    <row r="233" spans="1:20">
      <c r="A233" t="s">
        <v>450</v>
      </c>
      <c r="B233" s="2">
        <v>45847</v>
      </c>
      <c r="C233" t="s">
        <v>68</v>
      </c>
      <c r="D233" t="s">
        <v>69</v>
      </c>
      <c r="E233" t="s">
        <v>24</v>
      </c>
      <c r="F233" t="s">
        <v>25</v>
      </c>
      <c r="G233" t="s">
        <v>26</v>
      </c>
      <c r="H233" t="s">
        <v>27</v>
      </c>
      <c r="I233" t="s">
        <v>46</v>
      </c>
      <c r="J233" t="s">
        <v>46</v>
      </c>
      <c r="K233">
        <v>5</v>
      </c>
      <c r="L233">
        <v>7200</v>
      </c>
      <c r="M233" s="7">
        <v>0.2</v>
      </c>
      <c r="N233">
        <v>353.88</v>
      </c>
      <c r="O233" t="s">
        <v>83</v>
      </c>
      <c r="P233">
        <f t="shared" si="15"/>
        <v>2025</v>
      </c>
      <c r="Q233" t="str">
        <f t="shared" si="16"/>
        <v>Jul</v>
      </c>
      <c r="R233" s="3">
        <f t="shared" si="17"/>
        <v>4.9149999999999999E-2</v>
      </c>
      <c r="S233" t="str">
        <f t="shared" si="18"/>
        <v>Low</v>
      </c>
      <c r="T233">
        <f t="shared" si="19"/>
        <v>7</v>
      </c>
    </row>
    <row r="234" spans="1:20">
      <c r="A234" t="s">
        <v>451</v>
      </c>
      <c r="B234" s="2">
        <v>45784</v>
      </c>
      <c r="C234" t="s">
        <v>137</v>
      </c>
      <c r="D234" t="s">
        <v>138</v>
      </c>
      <c r="E234" t="s">
        <v>87</v>
      </c>
      <c r="F234" t="s">
        <v>44</v>
      </c>
      <c r="G234" t="s">
        <v>88</v>
      </c>
      <c r="H234" t="s">
        <v>27</v>
      </c>
      <c r="I234" t="s">
        <v>28</v>
      </c>
      <c r="J234" t="s">
        <v>29</v>
      </c>
      <c r="K234">
        <v>2</v>
      </c>
      <c r="L234">
        <v>24000</v>
      </c>
      <c r="M234" s="7">
        <v>0</v>
      </c>
      <c r="N234">
        <v>2162.91</v>
      </c>
      <c r="O234" t="s">
        <v>30</v>
      </c>
      <c r="P234">
        <f t="shared" si="15"/>
        <v>2025</v>
      </c>
      <c r="Q234" t="str">
        <f t="shared" si="16"/>
        <v>May</v>
      </c>
      <c r="R234" s="3">
        <f t="shared" si="17"/>
        <v>9.012125E-2</v>
      </c>
      <c r="S234" t="str">
        <f t="shared" si="18"/>
        <v>Low</v>
      </c>
      <c r="T234">
        <f t="shared" si="19"/>
        <v>5</v>
      </c>
    </row>
    <row r="235" spans="1:20">
      <c r="A235" t="s">
        <v>452</v>
      </c>
      <c r="B235" s="2">
        <v>45739</v>
      </c>
      <c r="C235" t="s">
        <v>192</v>
      </c>
      <c r="D235" t="s">
        <v>193</v>
      </c>
      <c r="E235" t="s">
        <v>126</v>
      </c>
      <c r="F235" t="s">
        <v>25</v>
      </c>
      <c r="G235" t="s">
        <v>35</v>
      </c>
      <c r="H235" t="s">
        <v>59</v>
      </c>
      <c r="I235" t="s">
        <v>60</v>
      </c>
      <c r="J235" t="s">
        <v>61</v>
      </c>
      <c r="K235">
        <v>3</v>
      </c>
      <c r="L235">
        <v>34800</v>
      </c>
      <c r="M235" s="7">
        <v>0.2</v>
      </c>
      <c r="N235">
        <v>6080.74</v>
      </c>
      <c r="O235" t="s">
        <v>39</v>
      </c>
      <c r="P235">
        <f t="shared" si="15"/>
        <v>2025</v>
      </c>
      <c r="Q235" t="str">
        <f t="shared" si="16"/>
        <v>Mar</v>
      </c>
      <c r="R235" s="3">
        <f t="shared" si="17"/>
        <v>0.17473390804597699</v>
      </c>
      <c r="S235" t="str">
        <f t="shared" si="18"/>
        <v>High</v>
      </c>
      <c r="T235">
        <f t="shared" si="19"/>
        <v>3</v>
      </c>
    </row>
    <row r="236" spans="1:20">
      <c r="A236" t="s">
        <v>453</v>
      </c>
      <c r="B236" s="2">
        <v>45897</v>
      </c>
      <c r="C236" t="s">
        <v>178</v>
      </c>
      <c r="D236" t="s">
        <v>86</v>
      </c>
      <c r="E236" t="s">
        <v>121</v>
      </c>
      <c r="F236" t="s">
        <v>44</v>
      </c>
      <c r="G236" t="s">
        <v>122</v>
      </c>
      <c r="H236" t="s">
        <v>36</v>
      </c>
      <c r="I236" t="s">
        <v>37</v>
      </c>
      <c r="J236" t="s">
        <v>38</v>
      </c>
      <c r="K236">
        <v>4</v>
      </c>
      <c r="L236">
        <v>23400</v>
      </c>
      <c r="M236" s="7">
        <v>0.1</v>
      </c>
      <c r="N236">
        <v>3679.01</v>
      </c>
      <c r="O236" t="s">
        <v>71</v>
      </c>
      <c r="P236">
        <f t="shared" si="15"/>
        <v>2025</v>
      </c>
      <c r="Q236" t="str">
        <f t="shared" si="16"/>
        <v>Aug</v>
      </c>
      <c r="R236" s="3">
        <f t="shared" si="17"/>
        <v>0.15722264957264959</v>
      </c>
      <c r="S236" t="str">
        <f t="shared" si="18"/>
        <v>Low</v>
      </c>
      <c r="T236">
        <f t="shared" si="19"/>
        <v>8</v>
      </c>
    </row>
    <row r="237" spans="1:20">
      <c r="A237" t="s">
        <v>454</v>
      </c>
      <c r="B237" s="2">
        <v>45781</v>
      </c>
      <c r="C237" t="s">
        <v>285</v>
      </c>
      <c r="D237" t="s">
        <v>286</v>
      </c>
      <c r="E237" t="s">
        <v>87</v>
      </c>
      <c r="F237" t="s">
        <v>44</v>
      </c>
      <c r="G237" t="s">
        <v>88</v>
      </c>
      <c r="H237" t="s">
        <v>27</v>
      </c>
      <c r="I237" t="s">
        <v>28</v>
      </c>
      <c r="J237" t="s">
        <v>29</v>
      </c>
      <c r="K237">
        <v>2</v>
      </c>
      <c r="L237">
        <v>19200</v>
      </c>
      <c r="M237" s="7">
        <v>0.2</v>
      </c>
      <c r="N237">
        <v>2074.6</v>
      </c>
      <c r="O237" t="s">
        <v>71</v>
      </c>
      <c r="P237">
        <f t="shared" si="15"/>
        <v>2025</v>
      </c>
      <c r="Q237" t="str">
        <f t="shared" si="16"/>
        <v>May</v>
      </c>
      <c r="R237" s="3">
        <f t="shared" si="17"/>
        <v>0.10805208333333333</v>
      </c>
      <c r="S237" t="str">
        <f t="shared" si="18"/>
        <v>Low</v>
      </c>
      <c r="T237">
        <f t="shared" si="19"/>
        <v>5</v>
      </c>
    </row>
    <row r="238" spans="1:20">
      <c r="A238" t="s">
        <v>455</v>
      </c>
      <c r="B238" s="2">
        <v>45992</v>
      </c>
      <c r="C238" t="s">
        <v>155</v>
      </c>
      <c r="D238" t="s">
        <v>99</v>
      </c>
      <c r="E238" t="s">
        <v>95</v>
      </c>
      <c r="F238" t="s">
        <v>25</v>
      </c>
      <c r="G238" t="s">
        <v>26</v>
      </c>
      <c r="H238" t="s">
        <v>36</v>
      </c>
      <c r="I238" t="s">
        <v>115</v>
      </c>
      <c r="J238" t="s">
        <v>116</v>
      </c>
      <c r="K238">
        <v>4</v>
      </c>
      <c r="L238">
        <v>1620</v>
      </c>
      <c r="M238" s="7">
        <v>0.1</v>
      </c>
      <c r="N238">
        <v>236.78</v>
      </c>
      <c r="O238" t="s">
        <v>71</v>
      </c>
      <c r="P238">
        <f t="shared" si="15"/>
        <v>2025</v>
      </c>
      <c r="Q238" t="str">
        <f t="shared" si="16"/>
        <v>Dec</v>
      </c>
      <c r="R238" s="3">
        <f t="shared" si="17"/>
        <v>0.14616049382716048</v>
      </c>
      <c r="S238" t="str">
        <f t="shared" si="18"/>
        <v>Low</v>
      </c>
      <c r="T238">
        <f t="shared" si="19"/>
        <v>12</v>
      </c>
    </row>
    <row r="239" spans="1:20">
      <c r="A239" t="s">
        <v>456</v>
      </c>
      <c r="B239" s="2">
        <v>45793</v>
      </c>
      <c r="C239" t="s">
        <v>101</v>
      </c>
      <c r="D239" t="s">
        <v>102</v>
      </c>
      <c r="E239" t="s">
        <v>95</v>
      </c>
      <c r="F239" t="s">
        <v>25</v>
      </c>
      <c r="G239" t="s">
        <v>26</v>
      </c>
      <c r="H239" t="s">
        <v>27</v>
      </c>
      <c r="I239" t="s">
        <v>28</v>
      </c>
      <c r="J239" t="s">
        <v>29</v>
      </c>
      <c r="K239">
        <v>3</v>
      </c>
      <c r="L239">
        <v>945</v>
      </c>
      <c r="M239" s="7">
        <v>0.3</v>
      </c>
      <c r="N239">
        <v>91.91</v>
      </c>
      <c r="O239" t="s">
        <v>83</v>
      </c>
      <c r="P239">
        <f t="shared" si="15"/>
        <v>2025</v>
      </c>
      <c r="Q239" t="str">
        <f t="shared" si="16"/>
        <v>May</v>
      </c>
      <c r="R239" s="3">
        <f t="shared" si="17"/>
        <v>9.7259259259259254E-2</v>
      </c>
      <c r="S239" t="str">
        <f t="shared" si="18"/>
        <v>Low</v>
      </c>
      <c r="T239">
        <f t="shared" si="19"/>
        <v>5</v>
      </c>
    </row>
    <row r="240" spans="1:20">
      <c r="A240" t="s">
        <v>457</v>
      </c>
      <c r="B240" s="2">
        <v>45757</v>
      </c>
      <c r="C240" t="s">
        <v>211</v>
      </c>
      <c r="D240" t="s">
        <v>212</v>
      </c>
      <c r="E240" t="s">
        <v>121</v>
      </c>
      <c r="F240" t="s">
        <v>44</v>
      </c>
      <c r="G240" t="s">
        <v>122</v>
      </c>
      <c r="H240" t="s">
        <v>127</v>
      </c>
      <c r="I240" t="s">
        <v>128</v>
      </c>
      <c r="J240" t="s">
        <v>129</v>
      </c>
      <c r="K240">
        <v>3</v>
      </c>
      <c r="L240">
        <v>15600</v>
      </c>
      <c r="M240" s="7">
        <v>0.2</v>
      </c>
      <c r="N240">
        <v>1223.0899999999999</v>
      </c>
      <c r="O240" t="s">
        <v>71</v>
      </c>
      <c r="P240">
        <f t="shared" si="15"/>
        <v>2025</v>
      </c>
      <c r="Q240" t="str">
        <f t="shared" si="16"/>
        <v>Apr</v>
      </c>
      <c r="R240" s="3">
        <f t="shared" si="17"/>
        <v>7.8403205128205117E-2</v>
      </c>
      <c r="S240" t="str">
        <f t="shared" si="18"/>
        <v>Low</v>
      </c>
      <c r="T240">
        <f t="shared" si="19"/>
        <v>4</v>
      </c>
    </row>
    <row r="241" spans="1:20">
      <c r="A241" t="s">
        <v>458</v>
      </c>
      <c r="B241" s="2">
        <v>45977</v>
      </c>
      <c r="C241" t="s">
        <v>273</v>
      </c>
      <c r="D241" t="s">
        <v>212</v>
      </c>
      <c r="E241" t="s">
        <v>103</v>
      </c>
      <c r="F241" t="s">
        <v>25</v>
      </c>
      <c r="G241" t="s">
        <v>104</v>
      </c>
      <c r="H241" t="s">
        <v>59</v>
      </c>
      <c r="I241" t="s">
        <v>81</v>
      </c>
      <c r="J241" t="s">
        <v>82</v>
      </c>
      <c r="K241">
        <v>5</v>
      </c>
      <c r="L241">
        <v>140000</v>
      </c>
      <c r="M241" s="7">
        <v>0</v>
      </c>
      <c r="N241">
        <v>14802.57</v>
      </c>
      <c r="O241" t="s">
        <v>91</v>
      </c>
      <c r="P241">
        <f t="shared" si="15"/>
        <v>2025</v>
      </c>
      <c r="Q241" t="str">
        <f t="shared" si="16"/>
        <v>Nov</v>
      </c>
      <c r="R241" s="3">
        <f t="shared" si="17"/>
        <v>0.10573264285714286</v>
      </c>
      <c r="S241" t="str">
        <f t="shared" si="18"/>
        <v>High</v>
      </c>
      <c r="T241">
        <f t="shared" si="19"/>
        <v>11</v>
      </c>
    </row>
    <row r="242" spans="1:20">
      <c r="A242" t="s">
        <v>459</v>
      </c>
      <c r="B242" s="2">
        <v>45845</v>
      </c>
      <c r="C242" t="s">
        <v>230</v>
      </c>
      <c r="D242" t="s">
        <v>231</v>
      </c>
      <c r="E242" t="s">
        <v>121</v>
      </c>
      <c r="F242" t="s">
        <v>44</v>
      </c>
      <c r="G242" t="s">
        <v>122</v>
      </c>
      <c r="H242" t="s">
        <v>59</v>
      </c>
      <c r="I242" t="s">
        <v>96</v>
      </c>
      <c r="J242" t="s">
        <v>61</v>
      </c>
      <c r="K242">
        <v>2</v>
      </c>
      <c r="L242">
        <v>12350</v>
      </c>
      <c r="M242" s="7">
        <v>0.05</v>
      </c>
      <c r="N242">
        <v>2290.62</v>
      </c>
      <c r="O242" t="s">
        <v>83</v>
      </c>
      <c r="P242">
        <f t="shared" si="15"/>
        <v>2025</v>
      </c>
      <c r="Q242" t="str">
        <f t="shared" si="16"/>
        <v>Jul</v>
      </c>
      <c r="R242" s="3">
        <f t="shared" si="17"/>
        <v>0.18547530364372469</v>
      </c>
      <c r="S242" t="str">
        <f t="shared" si="18"/>
        <v>Low</v>
      </c>
      <c r="T242">
        <f t="shared" si="19"/>
        <v>7</v>
      </c>
    </row>
    <row r="243" spans="1:20">
      <c r="A243" t="s">
        <v>460</v>
      </c>
      <c r="B243" s="2">
        <v>45728</v>
      </c>
      <c r="C243" t="s">
        <v>292</v>
      </c>
      <c r="D243" t="s">
        <v>293</v>
      </c>
      <c r="E243" t="s">
        <v>34</v>
      </c>
      <c r="F243" t="s">
        <v>25</v>
      </c>
      <c r="G243" t="s">
        <v>35</v>
      </c>
      <c r="H243" t="s">
        <v>27</v>
      </c>
      <c r="I243" t="s">
        <v>28</v>
      </c>
      <c r="J243" t="s">
        <v>29</v>
      </c>
      <c r="K243">
        <v>3</v>
      </c>
      <c r="L243">
        <v>115500</v>
      </c>
      <c r="M243" s="7">
        <v>0.3</v>
      </c>
      <c r="N243">
        <v>9294.83</v>
      </c>
      <c r="O243" t="s">
        <v>30</v>
      </c>
      <c r="P243">
        <f t="shared" si="15"/>
        <v>2025</v>
      </c>
      <c r="Q243" t="str">
        <f t="shared" si="16"/>
        <v>Mar</v>
      </c>
      <c r="R243" s="3">
        <f t="shared" si="17"/>
        <v>8.047471861471861E-2</v>
      </c>
      <c r="S243" t="str">
        <f t="shared" si="18"/>
        <v>High</v>
      </c>
      <c r="T243">
        <f t="shared" si="19"/>
        <v>3</v>
      </c>
    </row>
    <row r="244" spans="1:20">
      <c r="A244" t="s">
        <v>461</v>
      </c>
      <c r="B244" s="2">
        <v>45825</v>
      </c>
      <c r="C244" t="s">
        <v>275</v>
      </c>
      <c r="D244" t="s">
        <v>176</v>
      </c>
      <c r="E244" t="s">
        <v>24</v>
      </c>
      <c r="F244" t="s">
        <v>25</v>
      </c>
      <c r="G244" t="s">
        <v>26</v>
      </c>
      <c r="H244" t="s">
        <v>27</v>
      </c>
      <c r="I244" t="s">
        <v>28</v>
      </c>
      <c r="J244" t="s">
        <v>29</v>
      </c>
      <c r="K244">
        <v>5</v>
      </c>
      <c r="L244">
        <v>8100</v>
      </c>
      <c r="M244" s="7">
        <v>0.1</v>
      </c>
      <c r="N244">
        <v>548.65</v>
      </c>
      <c r="O244" t="s">
        <v>91</v>
      </c>
      <c r="P244">
        <f t="shared" si="15"/>
        <v>2025</v>
      </c>
      <c r="Q244" t="str">
        <f t="shared" si="16"/>
        <v>Jun</v>
      </c>
      <c r="R244" s="3">
        <f t="shared" si="17"/>
        <v>6.7734567901234569E-2</v>
      </c>
      <c r="S244" t="str">
        <f t="shared" si="18"/>
        <v>Low</v>
      </c>
      <c r="T244">
        <f t="shared" si="19"/>
        <v>6</v>
      </c>
    </row>
    <row r="245" spans="1:20">
      <c r="A245" t="s">
        <v>462</v>
      </c>
      <c r="B245" s="2">
        <v>45917</v>
      </c>
      <c r="C245" t="s">
        <v>438</v>
      </c>
      <c r="D245" t="s">
        <v>439</v>
      </c>
      <c r="E245" t="s">
        <v>160</v>
      </c>
      <c r="F245" t="s">
        <v>25</v>
      </c>
      <c r="G245" t="s">
        <v>161</v>
      </c>
      <c r="H245" t="s">
        <v>127</v>
      </c>
      <c r="I245" t="s">
        <v>128</v>
      </c>
      <c r="J245" t="s">
        <v>129</v>
      </c>
      <c r="K245">
        <v>5</v>
      </c>
      <c r="L245">
        <v>12800</v>
      </c>
      <c r="M245" s="7">
        <v>0.2</v>
      </c>
      <c r="N245">
        <v>1405.74</v>
      </c>
      <c r="O245" t="s">
        <v>71</v>
      </c>
      <c r="P245">
        <f t="shared" si="15"/>
        <v>2025</v>
      </c>
      <c r="Q245" t="str">
        <f t="shared" si="16"/>
        <v>Sep</v>
      </c>
      <c r="R245" s="3">
        <f t="shared" si="17"/>
        <v>0.1098234375</v>
      </c>
      <c r="S245" t="str">
        <f t="shared" si="18"/>
        <v>Low</v>
      </c>
      <c r="T245">
        <f t="shared" si="19"/>
        <v>9</v>
      </c>
    </row>
    <row r="246" spans="1:20">
      <c r="A246" t="s">
        <v>463</v>
      </c>
      <c r="B246" s="2">
        <v>45827</v>
      </c>
      <c r="C246" t="s">
        <v>309</v>
      </c>
      <c r="D246" t="s">
        <v>231</v>
      </c>
      <c r="E246" t="s">
        <v>160</v>
      </c>
      <c r="F246" t="s">
        <v>25</v>
      </c>
      <c r="G246" t="s">
        <v>161</v>
      </c>
      <c r="H246" t="s">
        <v>36</v>
      </c>
      <c r="I246" t="s">
        <v>37</v>
      </c>
      <c r="J246" t="s">
        <v>38</v>
      </c>
      <c r="K246">
        <v>1</v>
      </c>
      <c r="L246">
        <v>2720</v>
      </c>
      <c r="M246" s="7">
        <v>0.15</v>
      </c>
      <c r="N246">
        <v>372.26</v>
      </c>
      <c r="O246" t="s">
        <v>83</v>
      </c>
      <c r="P246">
        <f t="shared" si="15"/>
        <v>2025</v>
      </c>
      <c r="Q246" t="str">
        <f t="shared" si="16"/>
        <v>Jun</v>
      </c>
      <c r="R246" s="3">
        <f t="shared" si="17"/>
        <v>0.13686029411764705</v>
      </c>
      <c r="S246" t="str">
        <f t="shared" si="18"/>
        <v>Low</v>
      </c>
      <c r="T246">
        <f t="shared" si="19"/>
        <v>6</v>
      </c>
    </row>
    <row r="247" spans="1:20">
      <c r="A247" t="s">
        <v>464</v>
      </c>
      <c r="B247" s="2">
        <v>45793</v>
      </c>
      <c r="C247" t="s">
        <v>155</v>
      </c>
      <c r="D247" t="s">
        <v>99</v>
      </c>
      <c r="E247" t="s">
        <v>87</v>
      </c>
      <c r="F247" t="s">
        <v>44</v>
      </c>
      <c r="G247" t="s">
        <v>88</v>
      </c>
      <c r="H247" t="s">
        <v>36</v>
      </c>
      <c r="I247" t="s">
        <v>115</v>
      </c>
      <c r="J247" t="s">
        <v>116</v>
      </c>
      <c r="K247">
        <v>5</v>
      </c>
      <c r="L247">
        <v>48000</v>
      </c>
      <c r="M247" s="7">
        <v>0.2</v>
      </c>
      <c r="N247">
        <v>3981.16</v>
      </c>
      <c r="O247" t="s">
        <v>71</v>
      </c>
      <c r="P247">
        <f t="shared" si="15"/>
        <v>2025</v>
      </c>
      <c r="Q247" t="str">
        <f t="shared" si="16"/>
        <v>May</v>
      </c>
      <c r="R247" s="3">
        <f t="shared" si="17"/>
        <v>8.2940833333333325E-2</v>
      </c>
      <c r="S247" t="str">
        <f t="shared" si="18"/>
        <v>High</v>
      </c>
      <c r="T247">
        <f t="shared" si="19"/>
        <v>5</v>
      </c>
    </row>
    <row r="248" spans="1:20">
      <c r="A248" t="s">
        <v>465</v>
      </c>
      <c r="B248" s="2">
        <v>45980</v>
      </c>
      <c r="C248" t="s">
        <v>41</v>
      </c>
      <c r="D248" t="s">
        <v>42</v>
      </c>
      <c r="E248" t="s">
        <v>121</v>
      </c>
      <c r="F248" t="s">
        <v>44</v>
      </c>
      <c r="G248" t="s">
        <v>122</v>
      </c>
      <c r="H248" t="s">
        <v>27</v>
      </c>
      <c r="I248" t="s">
        <v>46</v>
      </c>
      <c r="J248" t="s">
        <v>46</v>
      </c>
      <c r="K248">
        <v>5</v>
      </c>
      <c r="L248">
        <v>22750</v>
      </c>
      <c r="M248" s="7">
        <v>0.3</v>
      </c>
      <c r="N248">
        <v>4030.17</v>
      </c>
      <c r="O248" t="s">
        <v>39</v>
      </c>
      <c r="P248">
        <f t="shared" si="15"/>
        <v>2025</v>
      </c>
      <c r="Q248" t="str">
        <f t="shared" si="16"/>
        <v>Nov</v>
      </c>
      <c r="R248" s="3">
        <f t="shared" si="17"/>
        <v>0.17715032967032968</v>
      </c>
      <c r="S248" t="str">
        <f t="shared" si="18"/>
        <v>Low</v>
      </c>
      <c r="T248">
        <f t="shared" si="19"/>
        <v>11</v>
      </c>
    </row>
    <row r="249" spans="1:20">
      <c r="A249" t="s">
        <v>466</v>
      </c>
      <c r="B249" s="2">
        <v>46016</v>
      </c>
      <c r="C249" t="s">
        <v>467</v>
      </c>
      <c r="D249" t="s">
        <v>468</v>
      </c>
      <c r="E249" t="s">
        <v>75</v>
      </c>
      <c r="F249" t="s">
        <v>76</v>
      </c>
      <c r="G249" t="s">
        <v>77</v>
      </c>
      <c r="H249" t="s">
        <v>59</v>
      </c>
      <c r="I249" t="s">
        <v>60</v>
      </c>
      <c r="J249" t="s">
        <v>61</v>
      </c>
      <c r="K249">
        <v>1</v>
      </c>
      <c r="L249">
        <v>171</v>
      </c>
      <c r="M249" s="7">
        <v>0.05</v>
      </c>
      <c r="N249">
        <v>11.95</v>
      </c>
      <c r="O249" t="s">
        <v>39</v>
      </c>
      <c r="P249">
        <f t="shared" si="15"/>
        <v>2025</v>
      </c>
      <c r="Q249" t="str">
        <f t="shared" si="16"/>
        <v>Dec</v>
      </c>
      <c r="R249" s="3">
        <f t="shared" si="17"/>
        <v>6.9883040935672505E-2</v>
      </c>
      <c r="S249" t="str">
        <f t="shared" si="18"/>
        <v>Low</v>
      </c>
      <c r="T249">
        <f t="shared" si="19"/>
        <v>12</v>
      </c>
    </row>
    <row r="250" spans="1:20">
      <c r="A250" t="s">
        <v>469</v>
      </c>
      <c r="B250" s="2">
        <v>45762</v>
      </c>
      <c r="C250" t="s">
        <v>134</v>
      </c>
      <c r="D250" t="s">
        <v>135</v>
      </c>
      <c r="E250" t="s">
        <v>56</v>
      </c>
      <c r="F250" t="s">
        <v>57</v>
      </c>
      <c r="G250" t="s">
        <v>58</v>
      </c>
      <c r="H250" t="s">
        <v>36</v>
      </c>
      <c r="I250" t="s">
        <v>37</v>
      </c>
      <c r="J250" t="s">
        <v>38</v>
      </c>
      <c r="K250">
        <v>4</v>
      </c>
      <c r="L250">
        <v>5120</v>
      </c>
      <c r="M250" s="7">
        <v>0.2</v>
      </c>
      <c r="N250">
        <v>762.72</v>
      </c>
      <c r="O250" t="s">
        <v>83</v>
      </c>
      <c r="P250">
        <f t="shared" si="15"/>
        <v>2025</v>
      </c>
      <c r="Q250" t="str">
        <f t="shared" si="16"/>
        <v>Apr</v>
      </c>
      <c r="R250" s="3">
        <f t="shared" si="17"/>
        <v>0.14896875000000001</v>
      </c>
      <c r="S250" t="str">
        <f t="shared" si="18"/>
        <v>Low</v>
      </c>
      <c r="T250">
        <f t="shared" si="19"/>
        <v>4</v>
      </c>
    </row>
    <row r="251" spans="1:20">
      <c r="A251" t="s">
        <v>470</v>
      </c>
      <c r="B251" s="2">
        <v>45764</v>
      </c>
      <c r="C251" t="s">
        <v>101</v>
      </c>
      <c r="D251" t="s">
        <v>102</v>
      </c>
      <c r="E251" t="s">
        <v>121</v>
      </c>
      <c r="F251" t="s">
        <v>44</v>
      </c>
      <c r="G251" t="s">
        <v>122</v>
      </c>
      <c r="H251" t="s">
        <v>27</v>
      </c>
      <c r="I251" t="s">
        <v>28</v>
      </c>
      <c r="J251" t="s">
        <v>29</v>
      </c>
      <c r="K251">
        <v>5</v>
      </c>
      <c r="L251">
        <v>29250</v>
      </c>
      <c r="M251" s="7">
        <v>0.1</v>
      </c>
      <c r="N251">
        <v>7244.21</v>
      </c>
      <c r="O251" t="s">
        <v>71</v>
      </c>
      <c r="P251">
        <f t="shared" si="15"/>
        <v>2025</v>
      </c>
      <c r="Q251" t="str">
        <f t="shared" si="16"/>
        <v>Apr</v>
      </c>
      <c r="R251" s="3">
        <f t="shared" si="17"/>
        <v>0.24766529914529914</v>
      </c>
      <c r="S251" t="str">
        <f t="shared" si="18"/>
        <v>Low</v>
      </c>
      <c r="T251">
        <f t="shared" si="19"/>
        <v>4</v>
      </c>
    </row>
    <row r="252" spans="1:20">
      <c r="A252" t="s">
        <v>471</v>
      </c>
      <c r="B252" s="2">
        <v>45893</v>
      </c>
      <c r="C252" t="s">
        <v>240</v>
      </c>
      <c r="D252" t="s">
        <v>33</v>
      </c>
      <c r="E252" t="s">
        <v>24</v>
      </c>
      <c r="F252" t="s">
        <v>25</v>
      </c>
      <c r="G252" t="s">
        <v>26</v>
      </c>
      <c r="H252" t="s">
        <v>27</v>
      </c>
      <c r="I252" t="s">
        <v>65</v>
      </c>
      <c r="J252" t="s">
        <v>66</v>
      </c>
      <c r="K252">
        <v>5</v>
      </c>
      <c r="L252">
        <v>8100</v>
      </c>
      <c r="M252" s="7">
        <v>0.1</v>
      </c>
      <c r="N252">
        <v>1234.0999999999999</v>
      </c>
      <c r="O252" t="s">
        <v>91</v>
      </c>
      <c r="P252">
        <f t="shared" si="15"/>
        <v>2025</v>
      </c>
      <c r="Q252" t="str">
        <f t="shared" si="16"/>
        <v>Aug</v>
      </c>
      <c r="R252" s="3">
        <f t="shared" si="17"/>
        <v>0.15235802469135801</v>
      </c>
      <c r="S252" t="str">
        <f t="shared" si="18"/>
        <v>Low</v>
      </c>
      <c r="T252">
        <f t="shared" si="19"/>
        <v>8</v>
      </c>
    </row>
    <row r="253" spans="1:20">
      <c r="A253" t="s">
        <v>472</v>
      </c>
      <c r="B253" s="2">
        <v>45756</v>
      </c>
      <c r="C253" t="s">
        <v>184</v>
      </c>
      <c r="D253" t="s">
        <v>86</v>
      </c>
      <c r="E253" t="s">
        <v>87</v>
      </c>
      <c r="F253" t="s">
        <v>44</v>
      </c>
      <c r="G253" t="s">
        <v>88</v>
      </c>
      <c r="H253" t="s">
        <v>59</v>
      </c>
      <c r="I253" t="s">
        <v>60</v>
      </c>
      <c r="J253" t="s">
        <v>61</v>
      </c>
      <c r="K253">
        <v>2</v>
      </c>
      <c r="L253">
        <v>21600</v>
      </c>
      <c r="M253" s="7">
        <v>0.1</v>
      </c>
      <c r="N253">
        <v>3585.51</v>
      </c>
      <c r="O253" t="s">
        <v>91</v>
      </c>
      <c r="P253">
        <f t="shared" si="15"/>
        <v>2025</v>
      </c>
      <c r="Q253" t="str">
        <f t="shared" si="16"/>
        <v>Apr</v>
      </c>
      <c r="R253" s="3">
        <f t="shared" si="17"/>
        <v>0.16599583333333334</v>
      </c>
      <c r="S253" t="str">
        <f t="shared" si="18"/>
        <v>Low</v>
      </c>
      <c r="T253">
        <f t="shared" si="19"/>
        <v>4</v>
      </c>
    </row>
    <row r="254" spans="1:20">
      <c r="A254" t="s">
        <v>473</v>
      </c>
      <c r="B254" s="2">
        <v>45764</v>
      </c>
      <c r="C254" t="s">
        <v>278</v>
      </c>
      <c r="D254" t="s">
        <v>279</v>
      </c>
      <c r="E254" t="s">
        <v>56</v>
      </c>
      <c r="F254" t="s">
        <v>57</v>
      </c>
      <c r="G254" t="s">
        <v>58</v>
      </c>
      <c r="H254" t="s">
        <v>36</v>
      </c>
      <c r="I254" t="s">
        <v>89</v>
      </c>
      <c r="J254" t="s">
        <v>90</v>
      </c>
      <c r="K254">
        <v>4</v>
      </c>
      <c r="L254">
        <v>5760</v>
      </c>
      <c r="M254" s="7">
        <v>0.1</v>
      </c>
      <c r="N254">
        <v>817.62</v>
      </c>
      <c r="O254" t="s">
        <v>91</v>
      </c>
      <c r="P254">
        <f t="shared" si="15"/>
        <v>2025</v>
      </c>
      <c r="Q254" t="str">
        <f t="shared" si="16"/>
        <v>Apr</v>
      </c>
      <c r="R254" s="3">
        <f t="shared" si="17"/>
        <v>0.14194791666666667</v>
      </c>
      <c r="S254" t="str">
        <f t="shared" si="18"/>
        <v>Low</v>
      </c>
      <c r="T254">
        <f t="shared" si="19"/>
        <v>4</v>
      </c>
    </row>
    <row r="255" spans="1:20">
      <c r="A255" t="s">
        <v>474</v>
      </c>
      <c r="B255" s="2">
        <v>45951</v>
      </c>
      <c r="C255" t="s">
        <v>278</v>
      </c>
      <c r="D255" t="s">
        <v>279</v>
      </c>
      <c r="E255" t="s">
        <v>70</v>
      </c>
      <c r="F255" t="s">
        <v>25</v>
      </c>
      <c r="G255" t="s">
        <v>26</v>
      </c>
      <c r="H255" t="s">
        <v>36</v>
      </c>
      <c r="I255" t="s">
        <v>89</v>
      </c>
      <c r="J255" t="s">
        <v>90</v>
      </c>
      <c r="K255">
        <v>5</v>
      </c>
      <c r="L255">
        <v>5100</v>
      </c>
      <c r="M255" s="7">
        <v>0.15</v>
      </c>
      <c r="N255">
        <v>1093.22</v>
      </c>
      <c r="O255" t="s">
        <v>91</v>
      </c>
      <c r="P255">
        <f t="shared" si="15"/>
        <v>2025</v>
      </c>
      <c r="Q255" t="str">
        <f t="shared" si="16"/>
        <v>Oct</v>
      </c>
      <c r="R255" s="3">
        <f t="shared" si="17"/>
        <v>0.21435686274509805</v>
      </c>
      <c r="S255" t="str">
        <f t="shared" si="18"/>
        <v>Low</v>
      </c>
      <c r="T255">
        <f t="shared" si="19"/>
        <v>10</v>
      </c>
    </row>
    <row r="256" spans="1:20">
      <c r="A256" t="s">
        <v>475</v>
      </c>
      <c r="B256" s="2">
        <v>45679</v>
      </c>
      <c r="C256" t="s">
        <v>355</v>
      </c>
      <c r="D256" t="s">
        <v>356</v>
      </c>
      <c r="E256" t="s">
        <v>103</v>
      </c>
      <c r="F256" t="s">
        <v>25</v>
      </c>
      <c r="G256" t="s">
        <v>104</v>
      </c>
      <c r="H256" t="s">
        <v>36</v>
      </c>
      <c r="I256" t="s">
        <v>115</v>
      </c>
      <c r="J256" t="s">
        <v>116</v>
      </c>
      <c r="K256">
        <v>3</v>
      </c>
      <c r="L256">
        <v>63000</v>
      </c>
      <c r="M256" s="7">
        <v>0.25</v>
      </c>
      <c r="N256">
        <v>-752.52</v>
      </c>
      <c r="O256" t="s">
        <v>91</v>
      </c>
      <c r="P256">
        <f t="shared" si="15"/>
        <v>2025</v>
      </c>
      <c r="Q256" t="str">
        <f t="shared" si="16"/>
        <v>Jan</v>
      </c>
      <c r="R256" s="3">
        <f t="shared" si="17"/>
        <v>-1.1944761904761904E-2</v>
      </c>
      <c r="S256" t="str">
        <f t="shared" si="18"/>
        <v>High</v>
      </c>
      <c r="T256">
        <f t="shared" si="19"/>
        <v>1</v>
      </c>
    </row>
    <row r="257" spans="1:20">
      <c r="A257" t="s">
        <v>476</v>
      </c>
      <c r="B257" s="2">
        <v>45761</v>
      </c>
      <c r="C257" t="s">
        <v>247</v>
      </c>
      <c r="D257" t="s">
        <v>169</v>
      </c>
      <c r="E257" t="s">
        <v>126</v>
      </c>
      <c r="F257" t="s">
        <v>25</v>
      </c>
      <c r="G257" t="s">
        <v>35</v>
      </c>
      <c r="H257" t="s">
        <v>127</v>
      </c>
      <c r="I257" t="s">
        <v>128</v>
      </c>
      <c r="J257" t="s">
        <v>129</v>
      </c>
      <c r="K257">
        <v>5</v>
      </c>
      <c r="L257">
        <v>65250</v>
      </c>
      <c r="M257" s="7">
        <v>0.1</v>
      </c>
      <c r="N257">
        <v>14955.33</v>
      </c>
      <c r="O257" t="s">
        <v>39</v>
      </c>
      <c r="P257">
        <f t="shared" si="15"/>
        <v>2025</v>
      </c>
      <c r="Q257" t="str">
        <f t="shared" si="16"/>
        <v>Apr</v>
      </c>
      <c r="R257" s="3">
        <f t="shared" si="17"/>
        <v>0.22920045977011494</v>
      </c>
      <c r="S257" t="str">
        <f t="shared" si="18"/>
        <v>High</v>
      </c>
      <c r="T257">
        <f t="shared" si="19"/>
        <v>4</v>
      </c>
    </row>
    <row r="258" spans="1:20">
      <c r="A258" t="s">
        <v>477</v>
      </c>
      <c r="B258" s="2">
        <v>45958</v>
      </c>
      <c r="C258" t="s">
        <v>270</v>
      </c>
      <c r="D258" t="s">
        <v>271</v>
      </c>
      <c r="E258" t="s">
        <v>75</v>
      </c>
      <c r="F258" t="s">
        <v>76</v>
      </c>
      <c r="G258" t="s">
        <v>77</v>
      </c>
      <c r="H258" t="s">
        <v>27</v>
      </c>
      <c r="I258" t="s">
        <v>28</v>
      </c>
      <c r="J258" t="s">
        <v>29</v>
      </c>
      <c r="K258">
        <v>2</v>
      </c>
      <c r="L258">
        <v>342</v>
      </c>
      <c r="M258" s="7">
        <v>0.05</v>
      </c>
      <c r="N258">
        <v>23.54</v>
      </c>
      <c r="O258" t="s">
        <v>39</v>
      </c>
      <c r="P258">
        <f t="shared" ref="P258:P321" si="20">YEAR(B258)</f>
        <v>2025</v>
      </c>
      <c r="Q258" t="str">
        <f t="shared" ref="Q258:Q321" si="21">TEXT(B258,"mmm")</f>
        <v>Oct</v>
      </c>
      <c r="R258" s="3">
        <f t="shared" ref="R258:R321" si="22">N258/L258</f>
        <v>6.8830409356725145E-2</v>
      </c>
      <c r="S258" t="str">
        <f t="shared" ref="S258:S321" si="23">IF(L258&gt;=30000,"High","Low")</f>
        <v>Low</v>
      </c>
      <c r="T258">
        <f t="shared" ref="T258:T321" si="24">MONTH(B258)</f>
        <v>10</v>
      </c>
    </row>
    <row r="259" spans="1:20">
      <c r="A259" t="s">
        <v>478</v>
      </c>
      <c r="B259" s="2">
        <v>45709</v>
      </c>
      <c r="C259" t="s">
        <v>392</v>
      </c>
      <c r="D259" t="s">
        <v>107</v>
      </c>
      <c r="E259" t="s">
        <v>34</v>
      </c>
      <c r="F259" t="s">
        <v>25</v>
      </c>
      <c r="G259" t="s">
        <v>35</v>
      </c>
      <c r="H259" t="s">
        <v>36</v>
      </c>
      <c r="I259" t="s">
        <v>37</v>
      </c>
      <c r="J259" t="s">
        <v>38</v>
      </c>
      <c r="K259">
        <v>4</v>
      </c>
      <c r="L259">
        <v>198000</v>
      </c>
      <c r="M259" s="7">
        <v>0.1</v>
      </c>
      <c r="N259">
        <v>39789.68</v>
      </c>
      <c r="O259" t="s">
        <v>39</v>
      </c>
      <c r="P259">
        <f t="shared" si="20"/>
        <v>2025</v>
      </c>
      <c r="Q259" t="str">
        <f t="shared" si="21"/>
        <v>Feb</v>
      </c>
      <c r="R259" s="3">
        <f t="shared" si="22"/>
        <v>0.2009579797979798</v>
      </c>
      <c r="S259" t="str">
        <f t="shared" si="23"/>
        <v>High</v>
      </c>
      <c r="T259">
        <f t="shared" si="24"/>
        <v>2</v>
      </c>
    </row>
    <row r="260" spans="1:20">
      <c r="A260" t="s">
        <v>479</v>
      </c>
      <c r="B260" s="2">
        <v>45738</v>
      </c>
      <c r="C260" t="s">
        <v>195</v>
      </c>
      <c r="D260" t="s">
        <v>196</v>
      </c>
      <c r="E260" t="s">
        <v>121</v>
      </c>
      <c r="F260" t="s">
        <v>44</v>
      </c>
      <c r="G260" t="s">
        <v>122</v>
      </c>
      <c r="H260" t="s">
        <v>59</v>
      </c>
      <c r="I260" t="s">
        <v>96</v>
      </c>
      <c r="J260" t="s">
        <v>61</v>
      </c>
      <c r="K260">
        <v>4</v>
      </c>
      <c r="L260">
        <v>19500</v>
      </c>
      <c r="M260" s="7">
        <v>0.25</v>
      </c>
      <c r="N260">
        <v>3161.08</v>
      </c>
      <c r="O260" t="s">
        <v>71</v>
      </c>
      <c r="P260">
        <f t="shared" si="20"/>
        <v>2025</v>
      </c>
      <c r="Q260" t="str">
        <f t="shared" si="21"/>
        <v>Mar</v>
      </c>
      <c r="R260" s="3">
        <f t="shared" si="22"/>
        <v>0.16210666666666668</v>
      </c>
      <c r="S260" t="str">
        <f t="shared" si="23"/>
        <v>Low</v>
      </c>
      <c r="T260">
        <f t="shared" si="24"/>
        <v>3</v>
      </c>
    </row>
    <row r="261" spans="1:20">
      <c r="A261" t="s">
        <v>480</v>
      </c>
      <c r="B261" s="2">
        <v>45805</v>
      </c>
      <c r="C261" t="s">
        <v>140</v>
      </c>
      <c r="D261" t="s">
        <v>141</v>
      </c>
      <c r="E261" t="s">
        <v>114</v>
      </c>
      <c r="F261" t="s">
        <v>57</v>
      </c>
      <c r="G261" t="s">
        <v>58</v>
      </c>
      <c r="H261" t="s">
        <v>127</v>
      </c>
      <c r="I261" t="s">
        <v>128</v>
      </c>
      <c r="J261" t="s">
        <v>129</v>
      </c>
      <c r="K261">
        <v>3</v>
      </c>
      <c r="L261">
        <v>1890</v>
      </c>
      <c r="M261" s="7">
        <v>0.1</v>
      </c>
      <c r="N261">
        <v>314.64999999999998</v>
      </c>
      <c r="O261" t="s">
        <v>83</v>
      </c>
      <c r="P261">
        <f t="shared" si="20"/>
        <v>2025</v>
      </c>
      <c r="Q261" t="str">
        <f t="shared" si="21"/>
        <v>May</v>
      </c>
      <c r="R261" s="3">
        <f t="shared" si="22"/>
        <v>0.16648148148148148</v>
      </c>
      <c r="S261" t="str">
        <f t="shared" si="23"/>
        <v>Low</v>
      </c>
      <c r="T261">
        <f t="shared" si="24"/>
        <v>5</v>
      </c>
    </row>
    <row r="262" spans="1:20">
      <c r="A262" t="s">
        <v>481</v>
      </c>
      <c r="B262" s="2">
        <v>45931</v>
      </c>
      <c r="C262" t="s">
        <v>157</v>
      </c>
      <c r="D262" t="s">
        <v>158</v>
      </c>
      <c r="E262" t="s">
        <v>126</v>
      </c>
      <c r="F262" t="s">
        <v>25</v>
      </c>
      <c r="G262" t="s">
        <v>35</v>
      </c>
      <c r="H262" t="s">
        <v>36</v>
      </c>
      <c r="I262" t="s">
        <v>37</v>
      </c>
      <c r="J262" t="s">
        <v>38</v>
      </c>
      <c r="K262">
        <v>1</v>
      </c>
      <c r="L262">
        <v>13775</v>
      </c>
      <c r="M262" s="7">
        <v>0.05</v>
      </c>
      <c r="N262">
        <v>1971.3</v>
      </c>
      <c r="O262" t="s">
        <v>83</v>
      </c>
      <c r="P262">
        <f t="shared" si="20"/>
        <v>2025</v>
      </c>
      <c r="Q262" t="str">
        <f t="shared" si="21"/>
        <v>Oct</v>
      </c>
      <c r="R262" s="3">
        <f t="shared" si="22"/>
        <v>0.14310707803992739</v>
      </c>
      <c r="S262" t="str">
        <f t="shared" si="23"/>
        <v>Low</v>
      </c>
      <c r="T262">
        <f t="shared" si="24"/>
        <v>10</v>
      </c>
    </row>
    <row r="263" spans="1:20">
      <c r="A263" t="s">
        <v>482</v>
      </c>
      <c r="B263" s="2">
        <v>45911</v>
      </c>
      <c r="C263" t="s">
        <v>215</v>
      </c>
      <c r="D263" t="s">
        <v>216</v>
      </c>
      <c r="E263" t="s">
        <v>114</v>
      </c>
      <c r="F263" t="s">
        <v>57</v>
      </c>
      <c r="G263" t="s">
        <v>58</v>
      </c>
      <c r="H263" t="s">
        <v>59</v>
      </c>
      <c r="I263" t="s">
        <v>81</v>
      </c>
      <c r="J263" t="s">
        <v>82</v>
      </c>
      <c r="K263">
        <v>2</v>
      </c>
      <c r="L263">
        <v>1050</v>
      </c>
      <c r="M263" s="7">
        <v>0.25</v>
      </c>
      <c r="N263">
        <v>172.78</v>
      </c>
      <c r="O263" t="s">
        <v>83</v>
      </c>
      <c r="P263">
        <f t="shared" si="20"/>
        <v>2025</v>
      </c>
      <c r="Q263" t="str">
        <f t="shared" si="21"/>
        <v>Sep</v>
      </c>
      <c r="R263" s="3">
        <f t="shared" si="22"/>
        <v>0.16455238095238095</v>
      </c>
      <c r="S263" t="str">
        <f t="shared" si="23"/>
        <v>Low</v>
      </c>
      <c r="T263">
        <f t="shared" si="24"/>
        <v>9</v>
      </c>
    </row>
    <row r="264" spans="1:20">
      <c r="A264" t="s">
        <v>483</v>
      </c>
      <c r="B264" s="2">
        <v>45948</v>
      </c>
      <c r="C264" t="s">
        <v>85</v>
      </c>
      <c r="D264" t="s">
        <v>86</v>
      </c>
      <c r="E264" t="s">
        <v>103</v>
      </c>
      <c r="F264" t="s">
        <v>25</v>
      </c>
      <c r="G264" t="s">
        <v>104</v>
      </c>
      <c r="H264" t="s">
        <v>36</v>
      </c>
      <c r="I264" t="s">
        <v>89</v>
      </c>
      <c r="J264" t="s">
        <v>90</v>
      </c>
      <c r="K264">
        <v>5</v>
      </c>
      <c r="L264">
        <v>140000</v>
      </c>
      <c r="M264" s="7">
        <v>0</v>
      </c>
      <c r="N264">
        <v>37196.74</v>
      </c>
      <c r="O264" t="s">
        <v>71</v>
      </c>
      <c r="P264">
        <f t="shared" si="20"/>
        <v>2025</v>
      </c>
      <c r="Q264" t="str">
        <f t="shared" si="21"/>
        <v>Oct</v>
      </c>
      <c r="R264" s="3">
        <f t="shared" si="22"/>
        <v>0.26569100000000001</v>
      </c>
      <c r="S264" t="str">
        <f t="shared" si="23"/>
        <v>High</v>
      </c>
      <c r="T264">
        <f t="shared" si="24"/>
        <v>10</v>
      </c>
    </row>
    <row r="265" spans="1:20">
      <c r="A265" t="s">
        <v>484</v>
      </c>
      <c r="B265" s="2">
        <v>45910</v>
      </c>
      <c r="C265" t="s">
        <v>198</v>
      </c>
      <c r="D265" t="s">
        <v>199</v>
      </c>
      <c r="E265" t="s">
        <v>121</v>
      </c>
      <c r="F265" t="s">
        <v>44</v>
      </c>
      <c r="G265" t="s">
        <v>122</v>
      </c>
      <c r="H265" t="s">
        <v>59</v>
      </c>
      <c r="I265" t="s">
        <v>96</v>
      </c>
      <c r="J265" t="s">
        <v>61</v>
      </c>
      <c r="K265">
        <v>2</v>
      </c>
      <c r="L265">
        <v>9100</v>
      </c>
      <c r="M265" s="7">
        <v>0.3</v>
      </c>
      <c r="N265">
        <v>913.46</v>
      </c>
      <c r="O265" t="s">
        <v>83</v>
      </c>
      <c r="P265">
        <f t="shared" si="20"/>
        <v>2025</v>
      </c>
      <c r="Q265" t="str">
        <f t="shared" si="21"/>
        <v>Sep</v>
      </c>
      <c r="R265" s="3">
        <f t="shared" si="22"/>
        <v>0.10038021978021978</v>
      </c>
      <c r="S265" t="str">
        <f t="shared" si="23"/>
        <v>Low</v>
      </c>
      <c r="T265">
        <f t="shared" si="24"/>
        <v>9</v>
      </c>
    </row>
    <row r="266" spans="1:20">
      <c r="A266" t="s">
        <v>485</v>
      </c>
      <c r="B266" s="2">
        <v>45892</v>
      </c>
      <c r="C266" t="s">
        <v>112</v>
      </c>
      <c r="D266" t="s">
        <v>113</v>
      </c>
      <c r="E266" t="s">
        <v>24</v>
      </c>
      <c r="F266" t="s">
        <v>25</v>
      </c>
      <c r="G266" t="s">
        <v>26</v>
      </c>
      <c r="H266" t="s">
        <v>36</v>
      </c>
      <c r="I266" t="s">
        <v>115</v>
      </c>
      <c r="J266" t="s">
        <v>116</v>
      </c>
      <c r="K266">
        <v>3</v>
      </c>
      <c r="L266">
        <v>4050</v>
      </c>
      <c r="M266" s="7">
        <v>0.25</v>
      </c>
      <c r="N266">
        <v>85.86</v>
      </c>
      <c r="O266" t="s">
        <v>91</v>
      </c>
      <c r="P266">
        <f t="shared" si="20"/>
        <v>2025</v>
      </c>
      <c r="Q266" t="str">
        <f t="shared" si="21"/>
        <v>Aug</v>
      </c>
      <c r="R266" s="3">
        <f t="shared" si="22"/>
        <v>2.12E-2</v>
      </c>
      <c r="S266" t="str">
        <f t="shared" si="23"/>
        <v>Low</v>
      </c>
      <c r="T266">
        <f t="shared" si="24"/>
        <v>8</v>
      </c>
    </row>
    <row r="267" spans="1:20">
      <c r="A267" t="s">
        <v>486</v>
      </c>
      <c r="B267" s="2">
        <v>45756</v>
      </c>
      <c r="C267" t="s">
        <v>211</v>
      </c>
      <c r="D267" t="s">
        <v>212</v>
      </c>
      <c r="E267" t="s">
        <v>147</v>
      </c>
      <c r="F267" t="s">
        <v>76</v>
      </c>
      <c r="G267" t="s">
        <v>77</v>
      </c>
      <c r="H267" t="s">
        <v>127</v>
      </c>
      <c r="I267" t="s">
        <v>128</v>
      </c>
      <c r="J267" t="s">
        <v>129</v>
      </c>
      <c r="K267">
        <v>2</v>
      </c>
      <c r="L267">
        <v>400</v>
      </c>
      <c r="M267" s="7">
        <v>0.2</v>
      </c>
      <c r="N267">
        <v>66.55</v>
      </c>
      <c r="O267" t="s">
        <v>71</v>
      </c>
      <c r="P267">
        <f t="shared" si="20"/>
        <v>2025</v>
      </c>
      <c r="Q267" t="str">
        <f t="shared" si="21"/>
        <v>Apr</v>
      </c>
      <c r="R267" s="3">
        <f t="shared" si="22"/>
        <v>0.166375</v>
      </c>
      <c r="S267" t="str">
        <f t="shared" si="23"/>
        <v>Low</v>
      </c>
      <c r="T267">
        <f t="shared" si="24"/>
        <v>4</v>
      </c>
    </row>
    <row r="268" spans="1:20">
      <c r="A268" t="s">
        <v>487</v>
      </c>
      <c r="B268" s="2">
        <v>45702</v>
      </c>
      <c r="C268" t="s">
        <v>275</v>
      </c>
      <c r="D268" t="s">
        <v>176</v>
      </c>
      <c r="E268" t="s">
        <v>160</v>
      </c>
      <c r="F268" t="s">
        <v>25</v>
      </c>
      <c r="G268" t="s">
        <v>161</v>
      </c>
      <c r="H268" t="s">
        <v>27</v>
      </c>
      <c r="I268" t="s">
        <v>28</v>
      </c>
      <c r="J268" t="s">
        <v>29</v>
      </c>
      <c r="K268">
        <v>4</v>
      </c>
      <c r="L268">
        <v>9600</v>
      </c>
      <c r="M268" s="7">
        <v>0.25</v>
      </c>
      <c r="N268">
        <v>-117.87</v>
      </c>
      <c r="O268" t="s">
        <v>71</v>
      </c>
      <c r="P268">
        <f t="shared" si="20"/>
        <v>2025</v>
      </c>
      <c r="Q268" t="str">
        <f t="shared" si="21"/>
        <v>Feb</v>
      </c>
      <c r="R268" s="3">
        <f t="shared" si="22"/>
        <v>-1.2278125000000001E-2</v>
      </c>
      <c r="S268" t="str">
        <f t="shared" si="23"/>
        <v>Low</v>
      </c>
      <c r="T268">
        <f t="shared" si="24"/>
        <v>2</v>
      </c>
    </row>
    <row r="269" spans="1:20">
      <c r="A269" t="s">
        <v>488</v>
      </c>
      <c r="B269" s="2">
        <v>45785</v>
      </c>
      <c r="C269" t="s">
        <v>206</v>
      </c>
      <c r="D269" t="s">
        <v>207</v>
      </c>
      <c r="E269" t="s">
        <v>95</v>
      </c>
      <c r="F269" t="s">
        <v>25</v>
      </c>
      <c r="G269" t="s">
        <v>26</v>
      </c>
      <c r="H269" t="s">
        <v>59</v>
      </c>
      <c r="I269" t="s">
        <v>81</v>
      </c>
      <c r="J269" t="s">
        <v>82</v>
      </c>
      <c r="K269">
        <v>1</v>
      </c>
      <c r="L269">
        <v>405</v>
      </c>
      <c r="M269" s="7">
        <v>0.1</v>
      </c>
      <c r="N269">
        <v>50.85</v>
      </c>
      <c r="O269" t="s">
        <v>91</v>
      </c>
      <c r="P269">
        <f t="shared" si="20"/>
        <v>2025</v>
      </c>
      <c r="Q269" t="str">
        <f t="shared" si="21"/>
        <v>May</v>
      </c>
      <c r="R269" s="3">
        <f t="shared" si="22"/>
        <v>0.12555555555555556</v>
      </c>
      <c r="S269" t="str">
        <f t="shared" si="23"/>
        <v>Low</v>
      </c>
      <c r="T269">
        <f t="shared" si="24"/>
        <v>5</v>
      </c>
    </row>
    <row r="270" spans="1:20">
      <c r="A270" t="s">
        <v>489</v>
      </c>
      <c r="B270" s="2">
        <v>45956</v>
      </c>
      <c r="C270" t="s">
        <v>112</v>
      </c>
      <c r="D270" t="s">
        <v>113</v>
      </c>
      <c r="E270" t="s">
        <v>103</v>
      </c>
      <c r="F270" t="s">
        <v>25</v>
      </c>
      <c r="G270" t="s">
        <v>104</v>
      </c>
      <c r="H270" t="s">
        <v>36</v>
      </c>
      <c r="I270" t="s">
        <v>115</v>
      </c>
      <c r="J270" t="s">
        <v>116</v>
      </c>
      <c r="K270">
        <v>5</v>
      </c>
      <c r="L270">
        <v>140000</v>
      </c>
      <c r="M270" s="7">
        <v>0</v>
      </c>
      <c r="N270">
        <v>18523.490000000002</v>
      </c>
      <c r="O270" t="s">
        <v>39</v>
      </c>
      <c r="P270">
        <f t="shared" si="20"/>
        <v>2025</v>
      </c>
      <c r="Q270" t="str">
        <f t="shared" si="21"/>
        <v>Oct</v>
      </c>
      <c r="R270" s="3">
        <f t="shared" si="22"/>
        <v>0.13231064285714286</v>
      </c>
      <c r="S270" t="str">
        <f t="shared" si="23"/>
        <v>High</v>
      </c>
      <c r="T270">
        <f t="shared" si="24"/>
        <v>10</v>
      </c>
    </row>
    <row r="271" spans="1:20">
      <c r="A271" t="s">
        <v>490</v>
      </c>
      <c r="B271" s="2">
        <v>45718</v>
      </c>
      <c r="C271" t="s">
        <v>54</v>
      </c>
      <c r="D271" t="s">
        <v>55</v>
      </c>
      <c r="E271" t="s">
        <v>147</v>
      </c>
      <c r="F271" t="s">
        <v>76</v>
      </c>
      <c r="G271" t="s">
        <v>77</v>
      </c>
      <c r="H271" t="s">
        <v>59</v>
      </c>
      <c r="I271" t="s">
        <v>60</v>
      </c>
      <c r="J271" t="s">
        <v>61</v>
      </c>
      <c r="K271">
        <v>4</v>
      </c>
      <c r="L271">
        <v>900</v>
      </c>
      <c r="M271" s="7">
        <v>0.1</v>
      </c>
      <c r="N271">
        <v>67.31</v>
      </c>
      <c r="O271" t="s">
        <v>91</v>
      </c>
      <c r="P271">
        <f t="shared" si="20"/>
        <v>2025</v>
      </c>
      <c r="Q271" t="str">
        <f t="shared" si="21"/>
        <v>Mar</v>
      </c>
      <c r="R271" s="3">
        <f t="shared" si="22"/>
        <v>7.4788888888888891E-2</v>
      </c>
      <c r="S271" t="str">
        <f t="shared" si="23"/>
        <v>Low</v>
      </c>
      <c r="T271">
        <f t="shared" si="24"/>
        <v>3</v>
      </c>
    </row>
    <row r="272" spans="1:20">
      <c r="A272" t="s">
        <v>491</v>
      </c>
      <c r="B272" s="2">
        <v>45809</v>
      </c>
      <c r="C272" t="s">
        <v>322</v>
      </c>
      <c r="D272" t="s">
        <v>323</v>
      </c>
      <c r="E272" t="s">
        <v>147</v>
      </c>
      <c r="F272" t="s">
        <v>76</v>
      </c>
      <c r="G272" t="s">
        <v>77</v>
      </c>
      <c r="H272" t="s">
        <v>27</v>
      </c>
      <c r="I272" t="s">
        <v>65</v>
      </c>
      <c r="J272" t="s">
        <v>66</v>
      </c>
      <c r="K272">
        <v>3</v>
      </c>
      <c r="L272">
        <v>600</v>
      </c>
      <c r="M272" s="7">
        <v>0.2</v>
      </c>
      <c r="N272">
        <v>21.78</v>
      </c>
      <c r="O272" t="s">
        <v>71</v>
      </c>
      <c r="P272">
        <f t="shared" si="20"/>
        <v>2025</v>
      </c>
      <c r="Q272" t="str">
        <f t="shared" si="21"/>
        <v>Jun</v>
      </c>
      <c r="R272" s="3">
        <f t="shared" si="22"/>
        <v>3.6299999999999999E-2</v>
      </c>
      <c r="S272" t="str">
        <f t="shared" si="23"/>
        <v>Low</v>
      </c>
      <c r="T272">
        <f t="shared" si="24"/>
        <v>6</v>
      </c>
    </row>
    <row r="273" spans="1:20">
      <c r="A273" t="s">
        <v>492</v>
      </c>
      <c r="B273" s="2">
        <v>45968</v>
      </c>
      <c r="C273" t="s">
        <v>288</v>
      </c>
      <c r="D273" t="s">
        <v>289</v>
      </c>
      <c r="E273" t="s">
        <v>87</v>
      </c>
      <c r="F273" t="s">
        <v>44</v>
      </c>
      <c r="G273" t="s">
        <v>88</v>
      </c>
      <c r="H273" t="s">
        <v>36</v>
      </c>
      <c r="I273" t="s">
        <v>37</v>
      </c>
      <c r="J273" t="s">
        <v>38</v>
      </c>
      <c r="K273">
        <v>3</v>
      </c>
      <c r="L273">
        <v>30600</v>
      </c>
      <c r="M273" s="7">
        <v>0.15</v>
      </c>
      <c r="N273">
        <v>4778.4399999999996</v>
      </c>
      <c r="O273" t="s">
        <v>30</v>
      </c>
      <c r="P273">
        <f t="shared" si="20"/>
        <v>2025</v>
      </c>
      <c r="Q273" t="str">
        <f t="shared" si="21"/>
        <v>Nov</v>
      </c>
      <c r="R273" s="3">
        <f t="shared" si="22"/>
        <v>0.15615816993464052</v>
      </c>
      <c r="S273" t="str">
        <f t="shared" si="23"/>
        <v>High</v>
      </c>
      <c r="T273">
        <f t="shared" si="24"/>
        <v>11</v>
      </c>
    </row>
    <row r="274" spans="1:20">
      <c r="A274" t="s">
        <v>493</v>
      </c>
      <c r="B274" s="2">
        <v>45784</v>
      </c>
      <c r="C274" t="s">
        <v>189</v>
      </c>
      <c r="D274" t="s">
        <v>190</v>
      </c>
      <c r="E274" t="s">
        <v>114</v>
      </c>
      <c r="F274" t="s">
        <v>57</v>
      </c>
      <c r="G274" t="s">
        <v>58</v>
      </c>
      <c r="H274" t="s">
        <v>36</v>
      </c>
      <c r="I274" t="s">
        <v>115</v>
      </c>
      <c r="J274" t="s">
        <v>116</v>
      </c>
      <c r="K274">
        <v>5</v>
      </c>
      <c r="L274">
        <v>2450</v>
      </c>
      <c r="M274" s="7">
        <v>0.3</v>
      </c>
      <c r="N274">
        <v>338.25</v>
      </c>
      <c r="O274" t="s">
        <v>30</v>
      </c>
      <c r="P274">
        <f t="shared" si="20"/>
        <v>2025</v>
      </c>
      <c r="Q274" t="str">
        <f t="shared" si="21"/>
        <v>May</v>
      </c>
      <c r="R274" s="3">
        <f t="shared" si="22"/>
        <v>0.13806122448979591</v>
      </c>
      <c r="S274" t="str">
        <f t="shared" si="23"/>
        <v>Low</v>
      </c>
      <c r="T274">
        <f t="shared" si="24"/>
        <v>5</v>
      </c>
    </row>
    <row r="275" spans="1:20">
      <c r="A275" t="s">
        <v>494</v>
      </c>
      <c r="B275" s="2">
        <v>45946</v>
      </c>
      <c r="C275" t="s">
        <v>317</v>
      </c>
      <c r="D275" t="s">
        <v>318</v>
      </c>
      <c r="E275" t="s">
        <v>70</v>
      </c>
      <c r="F275" t="s">
        <v>25</v>
      </c>
      <c r="G275" t="s">
        <v>26</v>
      </c>
      <c r="H275" t="s">
        <v>59</v>
      </c>
      <c r="I275" t="s">
        <v>81</v>
      </c>
      <c r="J275" t="s">
        <v>82</v>
      </c>
      <c r="K275">
        <v>1</v>
      </c>
      <c r="L275">
        <v>1200</v>
      </c>
      <c r="M275" s="7">
        <v>0</v>
      </c>
      <c r="N275">
        <v>294.91000000000003</v>
      </c>
      <c r="O275" t="s">
        <v>39</v>
      </c>
      <c r="P275">
        <f t="shared" si="20"/>
        <v>2025</v>
      </c>
      <c r="Q275" t="str">
        <f t="shared" si="21"/>
        <v>Oct</v>
      </c>
      <c r="R275" s="3">
        <f t="shared" si="22"/>
        <v>0.24575833333333336</v>
      </c>
      <c r="S275" t="str">
        <f t="shared" si="23"/>
        <v>Low</v>
      </c>
      <c r="T275">
        <f t="shared" si="24"/>
        <v>10</v>
      </c>
    </row>
    <row r="276" spans="1:20">
      <c r="A276" t="s">
        <v>495</v>
      </c>
      <c r="B276" s="2">
        <v>45734</v>
      </c>
      <c r="C276" t="s">
        <v>157</v>
      </c>
      <c r="D276" t="s">
        <v>158</v>
      </c>
      <c r="E276" t="s">
        <v>121</v>
      </c>
      <c r="F276" t="s">
        <v>44</v>
      </c>
      <c r="G276" t="s">
        <v>122</v>
      </c>
      <c r="H276" t="s">
        <v>36</v>
      </c>
      <c r="I276" t="s">
        <v>37</v>
      </c>
      <c r="J276" t="s">
        <v>38</v>
      </c>
      <c r="K276">
        <v>2</v>
      </c>
      <c r="L276">
        <v>11700</v>
      </c>
      <c r="M276" s="7">
        <v>0.1</v>
      </c>
      <c r="N276">
        <v>2572.2600000000002</v>
      </c>
      <c r="O276" t="s">
        <v>39</v>
      </c>
      <c r="P276">
        <f t="shared" si="20"/>
        <v>2025</v>
      </c>
      <c r="Q276" t="str">
        <f t="shared" si="21"/>
        <v>Mar</v>
      </c>
      <c r="R276" s="3">
        <f t="shared" si="22"/>
        <v>0.21985128205128207</v>
      </c>
      <c r="S276" t="str">
        <f t="shared" si="23"/>
        <v>Low</v>
      </c>
      <c r="T276">
        <f t="shared" si="24"/>
        <v>3</v>
      </c>
    </row>
    <row r="277" spans="1:20">
      <c r="A277" t="s">
        <v>496</v>
      </c>
      <c r="B277" s="2">
        <v>45704</v>
      </c>
      <c r="C277" t="s">
        <v>73</v>
      </c>
      <c r="D277" t="s">
        <v>74</v>
      </c>
      <c r="E277" t="s">
        <v>87</v>
      </c>
      <c r="F277" t="s">
        <v>44</v>
      </c>
      <c r="G277" t="s">
        <v>88</v>
      </c>
      <c r="H277" t="s">
        <v>27</v>
      </c>
      <c r="I277" t="s">
        <v>46</v>
      </c>
      <c r="J277" t="s">
        <v>46</v>
      </c>
      <c r="K277">
        <v>5</v>
      </c>
      <c r="L277">
        <v>51000</v>
      </c>
      <c r="M277" s="7">
        <v>0.15</v>
      </c>
      <c r="N277">
        <v>9931.4699999999993</v>
      </c>
      <c r="O277" t="s">
        <v>30</v>
      </c>
      <c r="P277">
        <f t="shared" si="20"/>
        <v>2025</v>
      </c>
      <c r="Q277" t="str">
        <f t="shared" si="21"/>
        <v>Feb</v>
      </c>
      <c r="R277" s="3">
        <f t="shared" si="22"/>
        <v>0.19473470588235292</v>
      </c>
      <c r="S277" t="str">
        <f t="shared" si="23"/>
        <v>High</v>
      </c>
      <c r="T277">
        <f t="shared" si="24"/>
        <v>2</v>
      </c>
    </row>
    <row r="278" spans="1:20">
      <c r="A278" t="s">
        <v>497</v>
      </c>
      <c r="B278" s="2">
        <v>45946</v>
      </c>
      <c r="C278" t="s">
        <v>192</v>
      </c>
      <c r="D278" t="s">
        <v>193</v>
      </c>
      <c r="E278" t="s">
        <v>87</v>
      </c>
      <c r="F278" t="s">
        <v>44</v>
      </c>
      <c r="G278" t="s">
        <v>88</v>
      </c>
      <c r="H278" t="s">
        <v>59</v>
      </c>
      <c r="I278" t="s">
        <v>60</v>
      </c>
      <c r="J278" t="s">
        <v>61</v>
      </c>
      <c r="K278">
        <v>1</v>
      </c>
      <c r="L278">
        <v>9600</v>
      </c>
      <c r="M278" s="7">
        <v>0.2</v>
      </c>
      <c r="N278">
        <v>884.45</v>
      </c>
      <c r="O278" t="s">
        <v>83</v>
      </c>
      <c r="P278">
        <f t="shared" si="20"/>
        <v>2025</v>
      </c>
      <c r="Q278" t="str">
        <f t="shared" si="21"/>
        <v>Oct</v>
      </c>
      <c r="R278" s="3">
        <f t="shared" si="22"/>
        <v>9.2130208333333338E-2</v>
      </c>
      <c r="S278" t="str">
        <f t="shared" si="23"/>
        <v>Low</v>
      </c>
      <c r="T278">
        <f t="shared" si="24"/>
        <v>10</v>
      </c>
    </row>
    <row r="279" spans="1:20">
      <c r="A279" t="s">
        <v>498</v>
      </c>
      <c r="B279" s="2">
        <v>45659</v>
      </c>
      <c r="C279" t="s">
        <v>215</v>
      </c>
      <c r="D279" t="s">
        <v>216</v>
      </c>
      <c r="E279" t="s">
        <v>103</v>
      </c>
      <c r="F279" t="s">
        <v>25</v>
      </c>
      <c r="G279" t="s">
        <v>104</v>
      </c>
      <c r="H279" t="s">
        <v>59</v>
      </c>
      <c r="I279" t="s">
        <v>81</v>
      </c>
      <c r="J279" t="s">
        <v>82</v>
      </c>
      <c r="K279">
        <v>2</v>
      </c>
      <c r="L279">
        <v>44800</v>
      </c>
      <c r="M279" s="7">
        <v>0.2</v>
      </c>
      <c r="N279">
        <v>1497.26</v>
      </c>
      <c r="O279" t="s">
        <v>83</v>
      </c>
      <c r="P279">
        <f t="shared" si="20"/>
        <v>2025</v>
      </c>
      <c r="Q279" t="str">
        <f t="shared" si="21"/>
        <v>Jan</v>
      </c>
      <c r="R279" s="3">
        <f t="shared" si="22"/>
        <v>3.3420982142857145E-2</v>
      </c>
      <c r="S279" t="str">
        <f t="shared" si="23"/>
        <v>High</v>
      </c>
      <c r="T279">
        <f t="shared" si="24"/>
        <v>1</v>
      </c>
    </row>
    <row r="280" spans="1:20">
      <c r="A280" t="s">
        <v>499</v>
      </c>
      <c r="B280" s="2">
        <v>45693</v>
      </c>
      <c r="C280" t="s">
        <v>198</v>
      </c>
      <c r="D280" t="s">
        <v>199</v>
      </c>
      <c r="E280" t="s">
        <v>34</v>
      </c>
      <c r="F280" t="s">
        <v>25</v>
      </c>
      <c r="G280" t="s">
        <v>35</v>
      </c>
      <c r="H280" t="s">
        <v>59</v>
      </c>
      <c r="I280" t="s">
        <v>96</v>
      </c>
      <c r="J280" t="s">
        <v>61</v>
      </c>
      <c r="K280">
        <v>4</v>
      </c>
      <c r="L280">
        <v>220000</v>
      </c>
      <c r="M280" s="7">
        <v>0</v>
      </c>
      <c r="N280">
        <v>30231.99</v>
      </c>
      <c r="O280" t="s">
        <v>39</v>
      </c>
      <c r="P280">
        <f t="shared" si="20"/>
        <v>2025</v>
      </c>
      <c r="Q280" t="str">
        <f t="shared" si="21"/>
        <v>Feb</v>
      </c>
      <c r="R280" s="3">
        <f t="shared" si="22"/>
        <v>0.13741813636363637</v>
      </c>
      <c r="S280" t="str">
        <f t="shared" si="23"/>
        <v>High</v>
      </c>
      <c r="T280">
        <f t="shared" si="24"/>
        <v>2</v>
      </c>
    </row>
    <row r="281" spans="1:20">
      <c r="A281" t="s">
        <v>500</v>
      </c>
      <c r="B281" s="2">
        <v>45853</v>
      </c>
      <c r="C281" t="s">
        <v>192</v>
      </c>
      <c r="D281" t="s">
        <v>193</v>
      </c>
      <c r="E281" t="s">
        <v>160</v>
      </c>
      <c r="F281" t="s">
        <v>25</v>
      </c>
      <c r="G281" t="s">
        <v>161</v>
      </c>
      <c r="H281" t="s">
        <v>59</v>
      </c>
      <c r="I281" t="s">
        <v>60</v>
      </c>
      <c r="J281" t="s">
        <v>61</v>
      </c>
      <c r="K281">
        <v>4</v>
      </c>
      <c r="L281">
        <v>8960</v>
      </c>
      <c r="M281" s="7">
        <v>0.3</v>
      </c>
      <c r="N281">
        <v>1568.99</v>
      </c>
      <c r="O281" t="s">
        <v>83</v>
      </c>
      <c r="P281">
        <f t="shared" si="20"/>
        <v>2025</v>
      </c>
      <c r="Q281" t="str">
        <f t="shared" si="21"/>
        <v>Jul</v>
      </c>
      <c r="R281" s="3">
        <f t="shared" si="22"/>
        <v>0.17511049107142856</v>
      </c>
      <c r="S281" t="str">
        <f t="shared" si="23"/>
        <v>Low</v>
      </c>
      <c r="T281">
        <f t="shared" si="24"/>
        <v>7</v>
      </c>
    </row>
    <row r="282" spans="1:20">
      <c r="A282" t="s">
        <v>501</v>
      </c>
      <c r="B282" s="2">
        <v>45992</v>
      </c>
      <c r="C282" t="s">
        <v>198</v>
      </c>
      <c r="D282" t="s">
        <v>199</v>
      </c>
      <c r="E282" t="s">
        <v>24</v>
      </c>
      <c r="F282" t="s">
        <v>25</v>
      </c>
      <c r="G282" t="s">
        <v>26</v>
      </c>
      <c r="H282" t="s">
        <v>59</v>
      </c>
      <c r="I282" t="s">
        <v>96</v>
      </c>
      <c r="J282" t="s">
        <v>61</v>
      </c>
      <c r="K282">
        <v>3</v>
      </c>
      <c r="L282">
        <v>5400</v>
      </c>
      <c r="M282" s="7">
        <v>0</v>
      </c>
      <c r="N282">
        <v>624.75</v>
      </c>
      <c r="O282" t="s">
        <v>30</v>
      </c>
      <c r="P282">
        <f t="shared" si="20"/>
        <v>2025</v>
      </c>
      <c r="Q282" t="str">
        <f t="shared" si="21"/>
        <v>Dec</v>
      </c>
      <c r="R282" s="3">
        <f t="shared" si="22"/>
        <v>0.11569444444444445</v>
      </c>
      <c r="S282" t="str">
        <f t="shared" si="23"/>
        <v>Low</v>
      </c>
      <c r="T282">
        <f t="shared" si="24"/>
        <v>12</v>
      </c>
    </row>
    <row r="283" spans="1:20">
      <c r="A283" t="s">
        <v>502</v>
      </c>
      <c r="B283" s="2">
        <v>45772</v>
      </c>
      <c r="C283" t="s">
        <v>93</v>
      </c>
      <c r="D283" t="s">
        <v>94</v>
      </c>
      <c r="E283" t="s">
        <v>56</v>
      </c>
      <c r="F283" t="s">
        <v>57</v>
      </c>
      <c r="G283" t="s">
        <v>58</v>
      </c>
      <c r="H283" t="s">
        <v>59</v>
      </c>
      <c r="I283" t="s">
        <v>96</v>
      </c>
      <c r="J283" t="s">
        <v>61</v>
      </c>
      <c r="K283">
        <v>1</v>
      </c>
      <c r="L283">
        <v>1120</v>
      </c>
      <c r="M283" s="7">
        <v>0.3</v>
      </c>
      <c r="N283">
        <v>2.4300000000000002</v>
      </c>
      <c r="O283" t="s">
        <v>30</v>
      </c>
      <c r="P283">
        <f t="shared" si="20"/>
        <v>2025</v>
      </c>
      <c r="Q283" t="str">
        <f t="shared" si="21"/>
        <v>Apr</v>
      </c>
      <c r="R283" s="3">
        <f t="shared" si="22"/>
        <v>2.1696428571428574E-3</v>
      </c>
      <c r="S283" t="str">
        <f t="shared" si="23"/>
        <v>Low</v>
      </c>
      <c r="T283">
        <f t="shared" si="24"/>
        <v>4</v>
      </c>
    </row>
    <row r="284" spans="1:20">
      <c r="A284" t="s">
        <v>503</v>
      </c>
      <c r="B284" s="2">
        <v>45852</v>
      </c>
      <c r="C284" t="s">
        <v>22</v>
      </c>
      <c r="D284" t="s">
        <v>23</v>
      </c>
      <c r="E284" t="s">
        <v>121</v>
      </c>
      <c r="F284" t="s">
        <v>44</v>
      </c>
      <c r="G284" t="s">
        <v>122</v>
      </c>
      <c r="H284" t="s">
        <v>27</v>
      </c>
      <c r="I284" t="s">
        <v>28</v>
      </c>
      <c r="J284" t="s">
        <v>29</v>
      </c>
      <c r="K284">
        <v>2</v>
      </c>
      <c r="L284">
        <v>12350</v>
      </c>
      <c r="M284" s="7">
        <v>0.05</v>
      </c>
      <c r="N284">
        <v>1978.3</v>
      </c>
      <c r="O284" t="s">
        <v>39</v>
      </c>
      <c r="P284">
        <f t="shared" si="20"/>
        <v>2025</v>
      </c>
      <c r="Q284" t="str">
        <f t="shared" si="21"/>
        <v>Jul</v>
      </c>
      <c r="R284" s="3">
        <f t="shared" si="22"/>
        <v>0.16018623481781377</v>
      </c>
      <c r="S284" t="str">
        <f t="shared" si="23"/>
        <v>Low</v>
      </c>
      <c r="T284">
        <f t="shared" si="24"/>
        <v>7</v>
      </c>
    </row>
    <row r="285" spans="1:20">
      <c r="A285" t="s">
        <v>504</v>
      </c>
      <c r="B285" s="2">
        <v>45996</v>
      </c>
      <c r="C285" t="s">
        <v>152</v>
      </c>
      <c r="D285" t="s">
        <v>153</v>
      </c>
      <c r="E285" t="s">
        <v>34</v>
      </c>
      <c r="F285" t="s">
        <v>25</v>
      </c>
      <c r="G285" t="s">
        <v>35</v>
      </c>
      <c r="H285" t="s">
        <v>127</v>
      </c>
      <c r="I285" t="s">
        <v>128</v>
      </c>
      <c r="J285" t="s">
        <v>129</v>
      </c>
      <c r="K285">
        <v>4</v>
      </c>
      <c r="L285">
        <v>176000</v>
      </c>
      <c r="M285" s="7">
        <v>0.2</v>
      </c>
      <c r="N285">
        <v>26228.02</v>
      </c>
      <c r="O285" t="s">
        <v>83</v>
      </c>
      <c r="P285">
        <f t="shared" si="20"/>
        <v>2025</v>
      </c>
      <c r="Q285" t="str">
        <f t="shared" si="21"/>
        <v>Dec</v>
      </c>
      <c r="R285" s="3">
        <f t="shared" si="22"/>
        <v>0.1490228409090909</v>
      </c>
      <c r="S285" t="str">
        <f t="shared" si="23"/>
        <v>High</v>
      </c>
      <c r="T285">
        <f t="shared" si="24"/>
        <v>12</v>
      </c>
    </row>
    <row r="286" spans="1:20">
      <c r="A286" t="s">
        <v>505</v>
      </c>
      <c r="B286" s="2">
        <v>45692</v>
      </c>
      <c r="C286" t="s">
        <v>172</v>
      </c>
      <c r="D286" t="s">
        <v>173</v>
      </c>
      <c r="E286" t="s">
        <v>126</v>
      </c>
      <c r="F286" t="s">
        <v>25</v>
      </c>
      <c r="G286" t="s">
        <v>35</v>
      </c>
      <c r="H286" t="s">
        <v>27</v>
      </c>
      <c r="I286" t="s">
        <v>46</v>
      </c>
      <c r="J286" t="s">
        <v>46</v>
      </c>
      <c r="K286">
        <v>1</v>
      </c>
      <c r="L286">
        <v>11600</v>
      </c>
      <c r="M286" s="7">
        <v>0.2</v>
      </c>
      <c r="N286">
        <v>195.18</v>
      </c>
      <c r="O286" t="s">
        <v>83</v>
      </c>
      <c r="P286">
        <f t="shared" si="20"/>
        <v>2025</v>
      </c>
      <c r="Q286" t="str">
        <f t="shared" si="21"/>
        <v>Feb</v>
      </c>
      <c r="R286" s="3">
        <f t="shared" si="22"/>
        <v>1.6825862068965518E-2</v>
      </c>
      <c r="S286" t="str">
        <f t="shared" si="23"/>
        <v>Low</v>
      </c>
      <c r="T286">
        <f t="shared" si="24"/>
        <v>2</v>
      </c>
    </row>
    <row r="287" spans="1:20">
      <c r="A287" t="s">
        <v>506</v>
      </c>
      <c r="B287" s="2">
        <v>45680</v>
      </c>
      <c r="C287" t="s">
        <v>427</v>
      </c>
      <c r="D287" t="s">
        <v>428</v>
      </c>
      <c r="E287" t="s">
        <v>56</v>
      </c>
      <c r="F287" t="s">
        <v>57</v>
      </c>
      <c r="G287" t="s">
        <v>58</v>
      </c>
      <c r="H287" t="s">
        <v>27</v>
      </c>
      <c r="I287" t="s">
        <v>65</v>
      </c>
      <c r="J287" t="s">
        <v>66</v>
      </c>
      <c r="K287">
        <v>4</v>
      </c>
      <c r="L287">
        <v>5440</v>
      </c>
      <c r="M287" s="7">
        <v>0.15</v>
      </c>
      <c r="N287">
        <v>482.64</v>
      </c>
      <c r="O287" t="s">
        <v>83</v>
      </c>
      <c r="P287">
        <f t="shared" si="20"/>
        <v>2025</v>
      </c>
      <c r="Q287" t="str">
        <f t="shared" si="21"/>
        <v>Jan</v>
      </c>
      <c r="R287" s="3">
        <f t="shared" si="22"/>
        <v>8.8720588235294121E-2</v>
      </c>
      <c r="S287" t="str">
        <f t="shared" si="23"/>
        <v>Low</v>
      </c>
      <c r="T287">
        <f t="shared" si="24"/>
        <v>1</v>
      </c>
    </row>
    <row r="288" spans="1:20">
      <c r="A288" t="s">
        <v>507</v>
      </c>
      <c r="B288" s="2">
        <v>45806</v>
      </c>
      <c r="C288" t="s">
        <v>101</v>
      </c>
      <c r="D288" t="s">
        <v>102</v>
      </c>
      <c r="E288" t="s">
        <v>121</v>
      </c>
      <c r="F288" t="s">
        <v>44</v>
      </c>
      <c r="G288" t="s">
        <v>122</v>
      </c>
      <c r="H288" t="s">
        <v>27</v>
      </c>
      <c r="I288" t="s">
        <v>28</v>
      </c>
      <c r="J288" t="s">
        <v>29</v>
      </c>
      <c r="K288">
        <v>2</v>
      </c>
      <c r="L288">
        <v>9100</v>
      </c>
      <c r="M288" s="7">
        <v>0.3</v>
      </c>
      <c r="N288">
        <v>1456.65</v>
      </c>
      <c r="O288" t="s">
        <v>30</v>
      </c>
      <c r="P288">
        <f t="shared" si="20"/>
        <v>2025</v>
      </c>
      <c r="Q288" t="str">
        <f t="shared" si="21"/>
        <v>May</v>
      </c>
      <c r="R288" s="3">
        <f t="shared" si="22"/>
        <v>0.16007142857142859</v>
      </c>
      <c r="S288" t="str">
        <f t="shared" si="23"/>
        <v>Low</v>
      </c>
      <c r="T288">
        <f t="shared" si="24"/>
        <v>5</v>
      </c>
    </row>
    <row r="289" spans="1:20">
      <c r="A289" t="s">
        <v>508</v>
      </c>
      <c r="B289" s="2">
        <v>46002</v>
      </c>
      <c r="C289" t="s">
        <v>155</v>
      </c>
      <c r="D289" t="s">
        <v>99</v>
      </c>
      <c r="E289" t="s">
        <v>114</v>
      </c>
      <c r="F289" t="s">
        <v>57</v>
      </c>
      <c r="G289" t="s">
        <v>58</v>
      </c>
      <c r="H289" t="s">
        <v>36</v>
      </c>
      <c r="I289" t="s">
        <v>115</v>
      </c>
      <c r="J289" t="s">
        <v>116</v>
      </c>
      <c r="K289">
        <v>3</v>
      </c>
      <c r="L289">
        <v>1995</v>
      </c>
      <c r="M289" s="7">
        <v>0.05</v>
      </c>
      <c r="N289">
        <v>256.48</v>
      </c>
      <c r="O289" t="s">
        <v>30</v>
      </c>
      <c r="P289">
        <f t="shared" si="20"/>
        <v>2025</v>
      </c>
      <c r="Q289" t="str">
        <f t="shared" si="21"/>
        <v>Dec</v>
      </c>
      <c r="R289" s="3">
        <f t="shared" si="22"/>
        <v>0.12856140350877193</v>
      </c>
      <c r="S289" t="str">
        <f t="shared" si="23"/>
        <v>Low</v>
      </c>
      <c r="T289">
        <f t="shared" si="24"/>
        <v>12</v>
      </c>
    </row>
    <row r="290" spans="1:20">
      <c r="A290" t="s">
        <v>509</v>
      </c>
      <c r="B290" s="2">
        <v>45811</v>
      </c>
      <c r="C290" t="s">
        <v>312</v>
      </c>
      <c r="D290" t="s">
        <v>313</v>
      </c>
      <c r="E290" t="s">
        <v>43</v>
      </c>
      <c r="F290" t="s">
        <v>44</v>
      </c>
      <c r="G290" t="s">
        <v>45</v>
      </c>
      <c r="H290" t="s">
        <v>27</v>
      </c>
      <c r="I290" t="s">
        <v>46</v>
      </c>
      <c r="J290" t="s">
        <v>46</v>
      </c>
      <c r="K290">
        <v>3</v>
      </c>
      <c r="L290">
        <v>25500</v>
      </c>
      <c r="M290" s="7">
        <v>0</v>
      </c>
      <c r="N290">
        <v>4879.26</v>
      </c>
      <c r="O290" t="s">
        <v>39</v>
      </c>
      <c r="P290">
        <f t="shared" si="20"/>
        <v>2025</v>
      </c>
      <c r="Q290" t="str">
        <f t="shared" si="21"/>
        <v>Jun</v>
      </c>
      <c r="R290" s="3">
        <f t="shared" si="22"/>
        <v>0.19134352941176472</v>
      </c>
      <c r="S290" t="str">
        <f t="shared" si="23"/>
        <v>Low</v>
      </c>
      <c r="T290">
        <f t="shared" si="24"/>
        <v>6</v>
      </c>
    </row>
    <row r="291" spans="1:20">
      <c r="A291" t="s">
        <v>510</v>
      </c>
      <c r="B291" s="2">
        <v>45911</v>
      </c>
      <c r="C291" t="s">
        <v>22</v>
      </c>
      <c r="D291" t="s">
        <v>23</v>
      </c>
      <c r="E291" t="s">
        <v>121</v>
      </c>
      <c r="F291" t="s">
        <v>44</v>
      </c>
      <c r="G291" t="s">
        <v>122</v>
      </c>
      <c r="H291" t="s">
        <v>27</v>
      </c>
      <c r="I291" t="s">
        <v>28</v>
      </c>
      <c r="J291" t="s">
        <v>29</v>
      </c>
      <c r="K291">
        <v>1</v>
      </c>
      <c r="L291">
        <v>5850</v>
      </c>
      <c r="M291" s="7">
        <v>0.1</v>
      </c>
      <c r="N291">
        <v>1354.47</v>
      </c>
      <c r="O291" t="s">
        <v>30</v>
      </c>
      <c r="P291">
        <f t="shared" si="20"/>
        <v>2025</v>
      </c>
      <c r="Q291" t="str">
        <f t="shared" si="21"/>
        <v>Sep</v>
      </c>
      <c r="R291" s="3">
        <f t="shared" si="22"/>
        <v>0.23153333333333334</v>
      </c>
      <c r="S291" t="str">
        <f t="shared" si="23"/>
        <v>Low</v>
      </c>
      <c r="T291">
        <f t="shared" si="24"/>
        <v>9</v>
      </c>
    </row>
    <row r="292" spans="1:20">
      <c r="A292" t="s">
        <v>511</v>
      </c>
      <c r="B292" s="2">
        <v>45871</v>
      </c>
      <c r="C292" t="s">
        <v>240</v>
      </c>
      <c r="D292" t="s">
        <v>33</v>
      </c>
      <c r="E292" t="s">
        <v>56</v>
      </c>
      <c r="F292" t="s">
        <v>57</v>
      </c>
      <c r="G292" t="s">
        <v>58</v>
      </c>
      <c r="H292" t="s">
        <v>27</v>
      </c>
      <c r="I292" t="s">
        <v>65</v>
      </c>
      <c r="J292" t="s">
        <v>66</v>
      </c>
      <c r="K292">
        <v>4</v>
      </c>
      <c r="L292">
        <v>6080</v>
      </c>
      <c r="M292" s="7">
        <v>0.05</v>
      </c>
      <c r="N292">
        <v>776.29</v>
      </c>
      <c r="O292" t="s">
        <v>30</v>
      </c>
      <c r="P292">
        <f t="shared" si="20"/>
        <v>2025</v>
      </c>
      <c r="Q292" t="str">
        <f t="shared" si="21"/>
        <v>Aug</v>
      </c>
      <c r="R292" s="3">
        <f t="shared" si="22"/>
        <v>0.12767927631578946</v>
      </c>
      <c r="S292" t="str">
        <f t="shared" si="23"/>
        <v>Low</v>
      </c>
      <c r="T292">
        <f t="shared" si="24"/>
        <v>8</v>
      </c>
    </row>
    <row r="293" spans="1:20">
      <c r="A293" t="s">
        <v>512</v>
      </c>
      <c r="B293" s="2">
        <v>45773</v>
      </c>
      <c r="C293" t="s">
        <v>175</v>
      </c>
      <c r="D293" t="s">
        <v>176</v>
      </c>
      <c r="E293" t="s">
        <v>126</v>
      </c>
      <c r="F293" t="s">
        <v>25</v>
      </c>
      <c r="G293" t="s">
        <v>35</v>
      </c>
      <c r="H293" t="s">
        <v>59</v>
      </c>
      <c r="I293" t="s">
        <v>96</v>
      </c>
      <c r="J293" t="s">
        <v>61</v>
      </c>
      <c r="K293">
        <v>3</v>
      </c>
      <c r="L293">
        <v>30450</v>
      </c>
      <c r="M293" s="7">
        <v>0.3</v>
      </c>
      <c r="N293">
        <v>3077.95</v>
      </c>
      <c r="O293" t="s">
        <v>83</v>
      </c>
      <c r="P293">
        <f t="shared" si="20"/>
        <v>2025</v>
      </c>
      <c r="Q293" t="str">
        <f t="shared" si="21"/>
        <v>Apr</v>
      </c>
      <c r="R293" s="3">
        <f t="shared" si="22"/>
        <v>0.10108210180623974</v>
      </c>
      <c r="S293" t="str">
        <f t="shared" si="23"/>
        <v>High</v>
      </c>
      <c r="T293">
        <f t="shared" si="24"/>
        <v>4</v>
      </c>
    </row>
    <row r="294" spans="1:20">
      <c r="A294" t="s">
        <v>513</v>
      </c>
      <c r="B294" s="2">
        <v>45871</v>
      </c>
      <c r="C294" t="s">
        <v>118</v>
      </c>
      <c r="D294" t="s">
        <v>119</v>
      </c>
      <c r="E294" t="s">
        <v>43</v>
      </c>
      <c r="F294" t="s">
        <v>44</v>
      </c>
      <c r="G294" t="s">
        <v>45</v>
      </c>
      <c r="H294" t="s">
        <v>27</v>
      </c>
      <c r="I294" t="s">
        <v>28</v>
      </c>
      <c r="J294" t="s">
        <v>29</v>
      </c>
      <c r="K294">
        <v>5</v>
      </c>
      <c r="L294">
        <v>34000</v>
      </c>
      <c r="M294" s="7">
        <v>0.2</v>
      </c>
      <c r="N294">
        <v>1858.97</v>
      </c>
      <c r="O294" t="s">
        <v>39</v>
      </c>
      <c r="P294">
        <f t="shared" si="20"/>
        <v>2025</v>
      </c>
      <c r="Q294" t="str">
        <f t="shared" si="21"/>
        <v>Aug</v>
      </c>
      <c r="R294" s="3">
        <f t="shared" si="22"/>
        <v>5.4675588235294122E-2</v>
      </c>
      <c r="S294" t="str">
        <f t="shared" si="23"/>
        <v>High</v>
      </c>
      <c r="T294">
        <f t="shared" si="24"/>
        <v>8</v>
      </c>
    </row>
    <row r="295" spans="1:20">
      <c r="A295" t="s">
        <v>514</v>
      </c>
      <c r="B295" s="2">
        <v>45698</v>
      </c>
      <c r="C295" t="s">
        <v>112</v>
      </c>
      <c r="D295" t="s">
        <v>113</v>
      </c>
      <c r="E295" t="s">
        <v>147</v>
      </c>
      <c r="F295" t="s">
        <v>76</v>
      </c>
      <c r="G295" t="s">
        <v>77</v>
      </c>
      <c r="H295" t="s">
        <v>36</v>
      </c>
      <c r="I295" t="s">
        <v>115</v>
      </c>
      <c r="J295" t="s">
        <v>116</v>
      </c>
      <c r="K295">
        <v>4</v>
      </c>
      <c r="L295">
        <v>700</v>
      </c>
      <c r="M295" s="7">
        <v>0.3</v>
      </c>
      <c r="N295">
        <v>37.83</v>
      </c>
      <c r="O295" t="s">
        <v>39</v>
      </c>
      <c r="P295">
        <f t="shared" si="20"/>
        <v>2025</v>
      </c>
      <c r="Q295" t="str">
        <f t="shared" si="21"/>
        <v>Feb</v>
      </c>
      <c r="R295" s="3">
        <f t="shared" si="22"/>
        <v>5.4042857142857142E-2</v>
      </c>
      <c r="S295" t="str">
        <f t="shared" si="23"/>
        <v>Low</v>
      </c>
      <c r="T295">
        <f t="shared" si="24"/>
        <v>2</v>
      </c>
    </row>
    <row r="296" spans="1:20">
      <c r="A296" t="s">
        <v>515</v>
      </c>
      <c r="B296" s="2">
        <v>45851</v>
      </c>
      <c r="C296" t="s">
        <v>333</v>
      </c>
      <c r="D296" t="s">
        <v>334</v>
      </c>
      <c r="E296" t="s">
        <v>103</v>
      </c>
      <c r="F296" t="s">
        <v>25</v>
      </c>
      <c r="G296" t="s">
        <v>104</v>
      </c>
      <c r="H296" t="s">
        <v>59</v>
      </c>
      <c r="I296" t="s">
        <v>60</v>
      </c>
      <c r="J296" t="s">
        <v>61</v>
      </c>
      <c r="K296">
        <v>5</v>
      </c>
      <c r="L296">
        <v>112000</v>
      </c>
      <c r="M296" s="7">
        <v>0.2</v>
      </c>
      <c r="N296">
        <v>4958.2700000000004</v>
      </c>
      <c r="O296" t="s">
        <v>30</v>
      </c>
      <c r="P296">
        <f t="shared" si="20"/>
        <v>2025</v>
      </c>
      <c r="Q296" t="str">
        <f t="shared" si="21"/>
        <v>Jul</v>
      </c>
      <c r="R296" s="3">
        <f t="shared" si="22"/>
        <v>4.4270267857142859E-2</v>
      </c>
      <c r="S296" t="str">
        <f t="shared" si="23"/>
        <v>High</v>
      </c>
      <c r="T296">
        <f t="shared" si="24"/>
        <v>7</v>
      </c>
    </row>
    <row r="297" spans="1:20">
      <c r="A297" t="s">
        <v>516</v>
      </c>
      <c r="B297" s="2">
        <v>45903</v>
      </c>
      <c r="C297" t="s">
        <v>118</v>
      </c>
      <c r="D297" t="s">
        <v>119</v>
      </c>
      <c r="E297" t="s">
        <v>126</v>
      </c>
      <c r="F297" t="s">
        <v>25</v>
      </c>
      <c r="G297" t="s">
        <v>35</v>
      </c>
      <c r="H297" t="s">
        <v>27</v>
      </c>
      <c r="I297" t="s">
        <v>28</v>
      </c>
      <c r="J297" t="s">
        <v>29</v>
      </c>
      <c r="K297">
        <v>2</v>
      </c>
      <c r="L297">
        <v>20300</v>
      </c>
      <c r="M297" s="7">
        <v>0.3</v>
      </c>
      <c r="N297">
        <v>3626.95</v>
      </c>
      <c r="O297" t="s">
        <v>83</v>
      </c>
      <c r="P297">
        <f t="shared" si="20"/>
        <v>2025</v>
      </c>
      <c r="Q297" t="str">
        <f t="shared" si="21"/>
        <v>Sep</v>
      </c>
      <c r="R297" s="3">
        <f t="shared" si="22"/>
        <v>0.17866748768472906</v>
      </c>
      <c r="S297" t="str">
        <f t="shared" si="23"/>
        <v>Low</v>
      </c>
      <c r="T297">
        <f t="shared" si="24"/>
        <v>9</v>
      </c>
    </row>
    <row r="298" spans="1:20">
      <c r="A298" t="s">
        <v>517</v>
      </c>
      <c r="B298" s="2">
        <v>45755</v>
      </c>
      <c r="C298" t="s">
        <v>189</v>
      </c>
      <c r="D298" t="s">
        <v>190</v>
      </c>
      <c r="E298" t="s">
        <v>95</v>
      </c>
      <c r="F298" t="s">
        <v>25</v>
      </c>
      <c r="G298" t="s">
        <v>26</v>
      </c>
      <c r="H298" t="s">
        <v>36</v>
      </c>
      <c r="I298" t="s">
        <v>115</v>
      </c>
      <c r="J298" t="s">
        <v>116</v>
      </c>
      <c r="K298">
        <v>1</v>
      </c>
      <c r="L298">
        <v>337.5</v>
      </c>
      <c r="M298" s="7">
        <v>0.25</v>
      </c>
      <c r="N298">
        <v>67.489999999999995</v>
      </c>
      <c r="O298" t="s">
        <v>39</v>
      </c>
      <c r="P298">
        <f t="shared" si="20"/>
        <v>2025</v>
      </c>
      <c r="Q298" t="str">
        <f t="shared" si="21"/>
        <v>Apr</v>
      </c>
      <c r="R298" s="3">
        <f t="shared" si="22"/>
        <v>0.19997037037037035</v>
      </c>
      <c r="S298" t="str">
        <f t="shared" si="23"/>
        <v>Low</v>
      </c>
      <c r="T298">
        <f t="shared" si="24"/>
        <v>4</v>
      </c>
    </row>
    <row r="299" spans="1:20">
      <c r="A299" t="s">
        <v>518</v>
      </c>
      <c r="B299" s="2">
        <v>45762</v>
      </c>
      <c r="C299" t="s">
        <v>168</v>
      </c>
      <c r="D299" t="s">
        <v>169</v>
      </c>
      <c r="E299" t="s">
        <v>56</v>
      </c>
      <c r="F299" t="s">
        <v>57</v>
      </c>
      <c r="G299" t="s">
        <v>58</v>
      </c>
      <c r="H299" t="s">
        <v>36</v>
      </c>
      <c r="I299" t="s">
        <v>37</v>
      </c>
      <c r="J299" t="s">
        <v>38</v>
      </c>
      <c r="K299">
        <v>4</v>
      </c>
      <c r="L299">
        <v>6080</v>
      </c>
      <c r="M299" s="7">
        <v>0.05</v>
      </c>
      <c r="N299">
        <v>1037.99</v>
      </c>
      <c r="O299" t="s">
        <v>71</v>
      </c>
      <c r="P299">
        <f t="shared" si="20"/>
        <v>2025</v>
      </c>
      <c r="Q299" t="str">
        <f t="shared" si="21"/>
        <v>Apr</v>
      </c>
      <c r="R299" s="3">
        <f t="shared" si="22"/>
        <v>0.17072203947368422</v>
      </c>
      <c r="S299" t="str">
        <f t="shared" si="23"/>
        <v>Low</v>
      </c>
      <c r="T299">
        <f t="shared" si="24"/>
        <v>4</v>
      </c>
    </row>
    <row r="300" spans="1:20">
      <c r="A300" t="s">
        <v>519</v>
      </c>
      <c r="B300" s="2">
        <v>45990</v>
      </c>
      <c r="C300" t="s">
        <v>224</v>
      </c>
      <c r="D300" t="s">
        <v>225</v>
      </c>
      <c r="E300" t="s">
        <v>121</v>
      </c>
      <c r="F300" t="s">
        <v>44</v>
      </c>
      <c r="G300" t="s">
        <v>122</v>
      </c>
      <c r="H300" t="s">
        <v>59</v>
      </c>
      <c r="I300" t="s">
        <v>60</v>
      </c>
      <c r="J300" t="s">
        <v>61</v>
      </c>
      <c r="K300">
        <v>3</v>
      </c>
      <c r="L300">
        <v>17550</v>
      </c>
      <c r="M300" s="7">
        <v>0.1</v>
      </c>
      <c r="N300">
        <v>1746.08</v>
      </c>
      <c r="O300" t="s">
        <v>71</v>
      </c>
      <c r="P300">
        <f t="shared" si="20"/>
        <v>2025</v>
      </c>
      <c r="Q300" t="str">
        <f t="shared" si="21"/>
        <v>Nov</v>
      </c>
      <c r="R300" s="3">
        <f t="shared" si="22"/>
        <v>9.9491737891737889E-2</v>
      </c>
      <c r="S300" t="str">
        <f t="shared" si="23"/>
        <v>Low</v>
      </c>
      <c r="T300">
        <f t="shared" si="24"/>
        <v>11</v>
      </c>
    </row>
    <row r="301" spans="1:20">
      <c r="A301" t="s">
        <v>520</v>
      </c>
      <c r="B301" s="2">
        <v>45898</v>
      </c>
      <c r="C301" t="s">
        <v>224</v>
      </c>
      <c r="D301" t="s">
        <v>225</v>
      </c>
      <c r="E301" t="s">
        <v>70</v>
      </c>
      <c r="F301" t="s">
        <v>25</v>
      </c>
      <c r="G301" t="s">
        <v>26</v>
      </c>
      <c r="H301" t="s">
        <v>59</v>
      </c>
      <c r="I301" t="s">
        <v>60</v>
      </c>
      <c r="J301" t="s">
        <v>61</v>
      </c>
      <c r="K301">
        <v>3</v>
      </c>
      <c r="L301">
        <v>3420</v>
      </c>
      <c r="M301" s="7">
        <v>0.05</v>
      </c>
      <c r="N301">
        <v>475.27</v>
      </c>
      <c r="O301" t="s">
        <v>30</v>
      </c>
      <c r="P301">
        <f t="shared" si="20"/>
        <v>2025</v>
      </c>
      <c r="Q301" t="str">
        <f t="shared" si="21"/>
        <v>Aug</v>
      </c>
      <c r="R301" s="3">
        <f t="shared" si="22"/>
        <v>0.13896783625730993</v>
      </c>
      <c r="S301" t="str">
        <f t="shared" si="23"/>
        <v>Low</v>
      </c>
      <c r="T301">
        <f t="shared" si="24"/>
        <v>8</v>
      </c>
    </row>
    <row r="302" spans="1:20">
      <c r="A302" t="s">
        <v>521</v>
      </c>
      <c r="B302" s="2">
        <v>45732</v>
      </c>
      <c r="C302" t="s">
        <v>312</v>
      </c>
      <c r="D302" t="s">
        <v>313</v>
      </c>
      <c r="E302" t="s">
        <v>56</v>
      </c>
      <c r="F302" t="s">
        <v>57</v>
      </c>
      <c r="G302" t="s">
        <v>58</v>
      </c>
      <c r="H302" t="s">
        <v>27</v>
      </c>
      <c r="I302" t="s">
        <v>46</v>
      </c>
      <c r="J302" t="s">
        <v>46</v>
      </c>
      <c r="K302">
        <v>1</v>
      </c>
      <c r="L302">
        <v>1440</v>
      </c>
      <c r="M302" s="7">
        <v>0.1</v>
      </c>
      <c r="N302">
        <v>224.73</v>
      </c>
      <c r="O302" t="s">
        <v>71</v>
      </c>
      <c r="P302">
        <f t="shared" si="20"/>
        <v>2025</v>
      </c>
      <c r="Q302" t="str">
        <f t="shared" si="21"/>
        <v>Mar</v>
      </c>
      <c r="R302" s="3">
        <f t="shared" si="22"/>
        <v>0.15606249999999999</v>
      </c>
      <c r="S302" t="str">
        <f t="shared" si="23"/>
        <v>Low</v>
      </c>
      <c r="T302">
        <f t="shared" si="24"/>
        <v>3</v>
      </c>
    </row>
    <row r="303" spans="1:20">
      <c r="A303" t="s">
        <v>522</v>
      </c>
      <c r="B303" s="2">
        <v>45758</v>
      </c>
      <c r="C303" t="s">
        <v>245</v>
      </c>
      <c r="D303" t="s">
        <v>52</v>
      </c>
      <c r="E303" t="s">
        <v>24</v>
      </c>
      <c r="F303" t="s">
        <v>25</v>
      </c>
      <c r="G303" t="s">
        <v>26</v>
      </c>
      <c r="H303" t="s">
        <v>36</v>
      </c>
      <c r="I303" t="s">
        <v>37</v>
      </c>
      <c r="J303" t="s">
        <v>38</v>
      </c>
      <c r="K303">
        <v>3</v>
      </c>
      <c r="L303">
        <v>5130</v>
      </c>
      <c r="M303" s="7">
        <v>0.05</v>
      </c>
      <c r="N303">
        <v>695.38</v>
      </c>
      <c r="O303" t="s">
        <v>71</v>
      </c>
      <c r="P303">
        <f t="shared" si="20"/>
        <v>2025</v>
      </c>
      <c r="Q303" t="str">
        <f t="shared" si="21"/>
        <v>Apr</v>
      </c>
      <c r="R303" s="3">
        <f t="shared" si="22"/>
        <v>0.13555165692007798</v>
      </c>
      <c r="S303" t="str">
        <f t="shared" si="23"/>
        <v>Low</v>
      </c>
      <c r="T303">
        <f t="shared" si="24"/>
        <v>4</v>
      </c>
    </row>
    <row r="304" spans="1:20">
      <c r="A304" t="s">
        <v>523</v>
      </c>
      <c r="B304" s="2">
        <v>46008</v>
      </c>
      <c r="C304" t="s">
        <v>273</v>
      </c>
      <c r="D304" t="s">
        <v>212</v>
      </c>
      <c r="E304" t="s">
        <v>147</v>
      </c>
      <c r="F304" t="s">
        <v>76</v>
      </c>
      <c r="G304" t="s">
        <v>77</v>
      </c>
      <c r="H304" t="s">
        <v>59</v>
      </c>
      <c r="I304" t="s">
        <v>81</v>
      </c>
      <c r="J304" t="s">
        <v>82</v>
      </c>
      <c r="K304">
        <v>3</v>
      </c>
      <c r="L304">
        <v>675</v>
      </c>
      <c r="M304" s="7">
        <v>0.1</v>
      </c>
      <c r="N304">
        <v>135.31</v>
      </c>
      <c r="O304" t="s">
        <v>71</v>
      </c>
      <c r="P304">
        <f t="shared" si="20"/>
        <v>2025</v>
      </c>
      <c r="Q304" t="str">
        <f t="shared" si="21"/>
        <v>Dec</v>
      </c>
      <c r="R304" s="3">
        <f t="shared" si="22"/>
        <v>0.20045925925925925</v>
      </c>
      <c r="S304" t="str">
        <f t="shared" si="23"/>
        <v>Low</v>
      </c>
      <c r="T304">
        <f t="shared" si="24"/>
        <v>12</v>
      </c>
    </row>
    <row r="305" spans="1:20">
      <c r="A305" t="s">
        <v>524</v>
      </c>
      <c r="B305" s="2">
        <v>45838</v>
      </c>
      <c r="C305" t="s">
        <v>181</v>
      </c>
      <c r="D305" t="s">
        <v>182</v>
      </c>
      <c r="E305" t="s">
        <v>24</v>
      </c>
      <c r="F305" t="s">
        <v>25</v>
      </c>
      <c r="G305" t="s">
        <v>26</v>
      </c>
      <c r="H305" t="s">
        <v>59</v>
      </c>
      <c r="I305" t="s">
        <v>81</v>
      </c>
      <c r="J305" t="s">
        <v>82</v>
      </c>
      <c r="K305">
        <v>2</v>
      </c>
      <c r="L305">
        <v>3420</v>
      </c>
      <c r="M305" s="7">
        <v>0.05</v>
      </c>
      <c r="N305">
        <v>711.22</v>
      </c>
      <c r="O305" t="s">
        <v>30</v>
      </c>
      <c r="P305">
        <f t="shared" si="20"/>
        <v>2025</v>
      </c>
      <c r="Q305" t="str">
        <f t="shared" si="21"/>
        <v>Jun</v>
      </c>
      <c r="R305" s="3">
        <f t="shared" si="22"/>
        <v>0.2079590643274854</v>
      </c>
      <c r="S305" t="str">
        <f t="shared" si="23"/>
        <v>Low</v>
      </c>
      <c r="T305">
        <f t="shared" si="24"/>
        <v>6</v>
      </c>
    </row>
    <row r="306" spans="1:20">
      <c r="A306" t="s">
        <v>525</v>
      </c>
      <c r="B306" s="2">
        <v>45675</v>
      </c>
      <c r="C306" t="s">
        <v>54</v>
      </c>
      <c r="D306" t="s">
        <v>55</v>
      </c>
      <c r="E306" t="s">
        <v>121</v>
      </c>
      <c r="F306" t="s">
        <v>44</v>
      </c>
      <c r="G306" t="s">
        <v>122</v>
      </c>
      <c r="H306" t="s">
        <v>59</v>
      </c>
      <c r="I306" t="s">
        <v>60</v>
      </c>
      <c r="J306" t="s">
        <v>61</v>
      </c>
      <c r="K306">
        <v>1</v>
      </c>
      <c r="L306">
        <v>4550</v>
      </c>
      <c r="M306" s="7">
        <v>0.3</v>
      </c>
      <c r="N306">
        <v>438.25</v>
      </c>
      <c r="O306" t="s">
        <v>71</v>
      </c>
      <c r="P306">
        <f t="shared" si="20"/>
        <v>2025</v>
      </c>
      <c r="Q306" t="str">
        <f t="shared" si="21"/>
        <v>Jan</v>
      </c>
      <c r="R306" s="3">
        <f t="shared" si="22"/>
        <v>9.6318681318681321E-2</v>
      </c>
      <c r="S306" t="str">
        <f t="shared" si="23"/>
        <v>Low</v>
      </c>
      <c r="T306">
        <f t="shared" si="24"/>
        <v>1</v>
      </c>
    </row>
    <row r="307" spans="1:20">
      <c r="A307" t="s">
        <v>526</v>
      </c>
      <c r="B307" s="2">
        <v>45980</v>
      </c>
      <c r="C307" t="s">
        <v>101</v>
      </c>
      <c r="D307" t="s">
        <v>102</v>
      </c>
      <c r="E307" t="s">
        <v>142</v>
      </c>
      <c r="F307" t="s">
        <v>25</v>
      </c>
      <c r="G307" t="s">
        <v>143</v>
      </c>
      <c r="H307" t="s">
        <v>27</v>
      </c>
      <c r="I307" t="s">
        <v>28</v>
      </c>
      <c r="J307" t="s">
        <v>29</v>
      </c>
      <c r="K307">
        <v>2</v>
      </c>
      <c r="L307">
        <v>23000</v>
      </c>
      <c r="M307" s="7">
        <v>0</v>
      </c>
      <c r="N307">
        <v>5092.9799999999996</v>
      </c>
      <c r="O307" t="s">
        <v>30</v>
      </c>
      <c r="P307">
        <f t="shared" si="20"/>
        <v>2025</v>
      </c>
      <c r="Q307" t="str">
        <f t="shared" si="21"/>
        <v>Nov</v>
      </c>
      <c r="R307" s="3">
        <f t="shared" si="22"/>
        <v>0.22143391304347823</v>
      </c>
      <c r="S307" t="str">
        <f t="shared" si="23"/>
        <v>Low</v>
      </c>
      <c r="T307">
        <f t="shared" si="24"/>
        <v>11</v>
      </c>
    </row>
    <row r="308" spans="1:20">
      <c r="A308" t="s">
        <v>527</v>
      </c>
      <c r="B308" s="2">
        <v>45688</v>
      </c>
      <c r="C308" t="s">
        <v>181</v>
      </c>
      <c r="D308" t="s">
        <v>182</v>
      </c>
      <c r="E308" t="s">
        <v>160</v>
      </c>
      <c r="F308" t="s">
        <v>25</v>
      </c>
      <c r="G308" t="s">
        <v>161</v>
      </c>
      <c r="H308" t="s">
        <v>59</v>
      </c>
      <c r="I308" t="s">
        <v>81</v>
      </c>
      <c r="J308" t="s">
        <v>82</v>
      </c>
      <c r="K308">
        <v>5</v>
      </c>
      <c r="L308">
        <v>12000</v>
      </c>
      <c r="M308" s="7">
        <v>0.25</v>
      </c>
      <c r="N308">
        <v>1497.82</v>
      </c>
      <c r="O308" t="s">
        <v>71</v>
      </c>
      <c r="P308">
        <f t="shared" si="20"/>
        <v>2025</v>
      </c>
      <c r="Q308" t="str">
        <f t="shared" si="21"/>
        <v>Jan</v>
      </c>
      <c r="R308" s="3">
        <f t="shared" si="22"/>
        <v>0.12481833333333332</v>
      </c>
      <c r="S308" t="str">
        <f t="shared" si="23"/>
        <v>Low</v>
      </c>
      <c r="T308">
        <f t="shared" si="24"/>
        <v>1</v>
      </c>
    </row>
    <row r="309" spans="1:20">
      <c r="A309" t="s">
        <v>528</v>
      </c>
      <c r="B309" s="2">
        <v>45661</v>
      </c>
      <c r="C309" t="s">
        <v>51</v>
      </c>
      <c r="D309" t="s">
        <v>52</v>
      </c>
      <c r="E309" t="s">
        <v>34</v>
      </c>
      <c r="F309" t="s">
        <v>25</v>
      </c>
      <c r="G309" t="s">
        <v>35</v>
      </c>
      <c r="H309" t="s">
        <v>36</v>
      </c>
      <c r="I309" t="s">
        <v>37</v>
      </c>
      <c r="J309" t="s">
        <v>38</v>
      </c>
      <c r="K309">
        <v>5</v>
      </c>
      <c r="L309">
        <v>220000</v>
      </c>
      <c r="M309" s="7">
        <v>0.2</v>
      </c>
      <c r="N309">
        <v>26714.91</v>
      </c>
      <c r="O309" t="s">
        <v>91</v>
      </c>
      <c r="P309">
        <f t="shared" si="20"/>
        <v>2025</v>
      </c>
      <c r="Q309" t="str">
        <f t="shared" si="21"/>
        <v>Jan</v>
      </c>
      <c r="R309" s="3">
        <f t="shared" si="22"/>
        <v>0.12143140909090909</v>
      </c>
      <c r="S309" t="str">
        <f t="shared" si="23"/>
        <v>High</v>
      </c>
      <c r="T309">
        <f t="shared" si="24"/>
        <v>1</v>
      </c>
    </row>
    <row r="310" spans="1:20">
      <c r="A310" t="s">
        <v>529</v>
      </c>
      <c r="B310" s="2">
        <v>45666</v>
      </c>
      <c r="C310" t="s">
        <v>298</v>
      </c>
      <c r="D310" t="s">
        <v>299</v>
      </c>
      <c r="E310" t="s">
        <v>103</v>
      </c>
      <c r="F310" t="s">
        <v>25</v>
      </c>
      <c r="G310" t="s">
        <v>104</v>
      </c>
      <c r="H310" t="s">
        <v>36</v>
      </c>
      <c r="I310" t="s">
        <v>37</v>
      </c>
      <c r="J310" t="s">
        <v>38</v>
      </c>
      <c r="K310">
        <v>5</v>
      </c>
      <c r="L310">
        <v>98000</v>
      </c>
      <c r="M310" s="7">
        <v>0.3</v>
      </c>
      <c r="N310">
        <v>12473.32</v>
      </c>
      <c r="O310" t="s">
        <v>39</v>
      </c>
      <c r="P310">
        <f t="shared" si="20"/>
        <v>2025</v>
      </c>
      <c r="Q310" t="str">
        <f t="shared" si="21"/>
        <v>Jan</v>
      </c>
      <c r="R310" s="3">
        <f t="shared" si="22"/>
        <v>0.12727877551020408</v>
      </c>
      <c r="S310" t="str">
        <f t="shared" si="23"/>
        <v>High</v>
      </c>
      <c r="T310">
        <f t="shared" si="24"/>
        <v>1</v>
      </c>
    </row>
    <row r="311" spans="1:20">
      <c r="A311" t="s">
        <v>530</v>
      </c>
      <c r="B311" s="2">
        <v>45707</v>
      </c>
      <c r="C311" t="s">
        <v>270</v>
      </c>
      <c r="D311" t="s">
        <v>271</v>
      </c>
      <c r="E311" t="s">
        <v>95</v>
      </c>
      <c r="F311" t="s">
        <v>25</v>
      </c>
      <c r="G311" t="s">
        <v>26</v>
      </c>
      <c r="H311" t="s">
        <v>27</v>
      </c>
      <c r="I311" t="s">
        <v>28</v>
      </c>
      <c r="J311" t="s">
        <v>29</v>
      </c>
      <c r="K311">
        <v>5</v>
      </c>
      <c r="L311">
        <v>2137.5</v>
      </c>
      <c r="M311" s="7">
        <v>0.05</v>
      </c>
      <c r="N311">
        <v>236.08</v>
      </c>
      <c r="O311" t="s">
        <v>91</v>
      </c>
      <c r="P311">
        <f t="shared" si="20"/>
        <v>2025</v>
      </c>
      <c r="Q311" t="str">
        <f t="shared" si="21"/>
        <v>Feb</v>
      </c>
      <c r="R311" s="3">
        <f t="shared" si="22"/>
        <v>0.110446783625731</v>
      </c>
      <c r="S311" t="str">
        <f t="shared" si="23"/>
        <v>Low</v>
      </c>
      <c r="T311">
        <f t="shared" si="24"/>
        <v>2</v>
      </c>
    </row>
    <row r="312" spans="1:20">
      <c r="A312" t="s">
        <v>531</v>
      </c>
      <c r="B312" s="2">
        <v>45861</v>
      </c>
      <c r="C312" t="s">
        <v>124</v>
      </c>
      <c r="D312" t="s">
        <v>125</v>
      </c>
      <c r="E312" t="s">
        <v>103</v>
      </c>
      <c r="F312" t="s">
        <v>25</v>
      </c>
      <c r="G312" t="s">
        <v>104</v>
      </c>
      <c r="H312" t="s">
        <v>127</v>
      </c>
      <c r="I312" t="s">
        <v>128</v>
      </c>
      <c r="J312" t="s">
        <v>129</v>
      </c>
      <c r="K312">
        <v>1</v>
      </c>
      <c r="L312">
        <v>25200</v>
      </c>
      <c r="M312" s="7">
        <v>0.1</v>
      </c>
      <c r="N312">
        <v>6057.69</v>
      </c>
      <c r="O312" t="s">
        <v>39</v>
      </c>
      <c r="P312">
        <f t="shared" si="20"/>
        <v>2025</v>
      </c>
      <c r="Q312" t="str">
        <f t="shared" si="21"/>
        <v>Jul</v>
      </c>
      <c r="R312" s="3">
        <f t="shared" si="22"/>
        <v>0.2403845238095238</v>
      </c>
      <c r="S312" t="str">
        <f t="shared" si="23"/>
        <v>Low</v>
      </c>
      <c r="T312">
        <f t="shared" si="24"/>
        <v>7</v>
      </c>
    </row>
    <row r="313" spans="1:20">
      <c r="A313" t="s">
        <v>532</v>
      </c>
      <c r="B313" s="2">
        <v>46008</v>
      </c>
      <c r="C313" t="s">
        <v>312</v>
      </c>
      <c r="D313" t="s">
        <v>313</v>
      </c>
      <c r="E313" t="s">
        <v>103</v>
      </c>
      <c r="F313" t="s">
        <v>25</v>
      </c>
      <c r="G313" t="s">
        <v>104</v>
      </c>
      <c r="H313" t="s">
        <v>27</v>
      </c>
      <c r="I313" t="s">
        <v>46</v>
      </c>
      <c r="J313" t="s">
        <v>46</v>
      </c>
      <c r="K313">
        <v>1</v>
      </c>
      <c r="L313">
        <v>21000</v>
      </c>
      <c r="M313" s="7">
        <v>0.25</v>
      </c>
      <c r="N313">
        <v>3942.05</v>
      </c>
      <c r="O313" t="s">
        <v>83</v>
      </c>
      <c r="P313">
        <f t="shared" si="20"/>
        <v>2025</v>
      </c>
      <c r="Q313" t="str">
        <f t="shared" si="21"/>
        <v>Dec</v>
      </c>
      <c r="R313" s="3">
        <f t="shared" si="22"/>
        <v>0.18771666666666667</v>
      </c>
      <c r="S313" t="str">
        <f t="shared" si="23"/>
        <v>Low</v>
      </c>
      <c r="T313">
        <f t="shared" si="24"/>
        <v>12</v>
      </c>
    </row>
    <row r="314" spans="1:20">
      <c r="A314" t="s">
        <v>533</v>
      </c>
      <c r="B314" s="2">
        <v>45852</v>
      </c>
      <c r="C314" t="s">
        <v>399</v>
      </c>
      <c r="D314" t="s">
        <v>400</v>
      </c>
      <c r="E314" t="s">
        <v>43</v>
      </c>
      <c r="F314" t="s">
        <v>44</v>
      </c>
      <c r="G314" t="s">
        <v>45</v>
      </c>
      <c r="H314" t="s">
        <v>36</v>
      </c>
      <c r="I314" t="s">
        <v>37</v>
      </c>
      <c r="J314" t="s">
        <v>38</v>
      </c>
      <c r="K314">
        <v>4</v>
      </c>
      <c r="L314">
        <v>27200</v>
      </c>
      <c r="M314" s="7">
        <v>0.2</v>
      </c>
      <c r="N314">
        <v>2811.49</v>
      </c>
      <c r="O314" t="s">
        <v>39</v>
      </c>
      <c r="P314">
        <f t="shared" si="20"/>
        <v>2025</v>
      </c>
      <c r="Q314" t="str">
        <f t="shared" si="21"/>
        <v>Jul</v>
      </c>
      <c r="R314" s="3">
        <f t="shared" si="22"/>
        <v>0.10336360294117647</v>
      </c>
      <c r="S314" t="str">
        <f t="shared" si="23"/>
        <v>Low</v>
      </c>
      <c r="T314">
        <f t="shared" si="24"/>
        <v>7</v>
      </c>
    </row>
    <row r="315" spans="1:20">
      <c r="A315" t="s">
        <v>534</v>
      </c>
      <c r="B315" s="2">
        <v>45880</v>
      </c>
      <c r="C315" t="s">
        <v>419</v>
      </c>
      <c r="D315" t="s">
        <v>420</v>
      </c>
      <c r="E315" t="s">
        <v>87</v>
      </c>
      <c r="F315" t="s">
        <v>44</v>
      </c>
      <c r="G315" t="s">
        <v>88</v>
      </c>
      <c r="H315" t="s">
        <v>36</v>
      </c>
      <c r="I315" t="s">
        <v>89</v>
      </c>
      <c r="J315" t="s">
        <v>90</v>
      </c>
      <c r="K315">
        <v>3</v>
      </c>
      <c r="L315">
        <v>28800</v>
      </c>
      <c r="M315" s="7">
        <v>0.2</v>
      </c>
      <c r="N315">
        <v>5379.09</v>
      </c>
      <c r="O315" t="s">
        <v>30</v>
      </c>
      <c r="P315">
        <f t="shared" si="20"/>
        <v>2025</v>
      </c>
      <c r="Q315" t="str">
        <f t="shared" si="21"/>
        <v>Aug</v>
      </c>
      <c r="R315" s="3">
        <f t="shared" si="22"/>
        <v>0.18677395833333335</v>
      </c>
      <c r="S315" t="str">
        <f t="shared" si="23"/>
        <v>Low</v>
      </c>
      <c r="T315">
        <f t="shared" si="24"/>
        <v>8</v>
      </c>
    </row>
    <row r="316" spans="1:20">
      <c r="A316" t="s">
        <v>535</v>
      </c>
      <c r="B316" s="2">
        <v>45766</v>
      </c>
      <c r="C316" t="s">
        <v>292</v>
      </c>
      <c r="D316" t="s">
        <v>293</v>
      </c>
      <c r="E316" t="s">
        <v>126</v>
      </c>
      <c r="F316" t="s">
        <v>25</v>
      </c>
      <c r="G316" t="s">
        <v>35</v>
      </c>
      <c r="H316" t="s">
        <v>27</v>
      </c>
      <c r="I316" t="s">
        <v>28</v>
      </c>
      <c r="J316" t="s">
        <v>29</v>
      </c>
      <c r="K316">
        <v>5</v>
      </c>
      <c r="L316">
        <v>61625</v>
      </c>
      <c r="M316" s="7">
        <v>0.15</v>
      </c>
      <c r="N316">
        <v>4286.82</v>
      </c>
      <c r="O316" t="s">
        <v>91</v>
      </c>
      <c r="P316">
        <f t="shared" si="20"/>
        <v>2025</v>
      </c>
      <c r="Q316" t="str">
        <f t="shared" si="21"/>
        <v>Apr</v>
      </c>
      <c r="R316" s="3">
        <f t="shared" si="22"/>
        <v>6.9563002028397561E-2</v>
      </c>
      <c r="S316" t="str">
        <f t="shared" si="23"/>
        <v>High</v>
      </c>
      <c r="T316">
        <f t="shared" si="24"/>
        <v>4</v>
      </c>
    </row>
    <row r="317" spans="1:20">
      <c r="A317" t="s">
        <v>536</v>
      </c>
      <c r="B317" s="2">
        <v>45994</v>
      </c>
      <c r="C317" t="s">
        <v>198</v>
      </c>
      <c r="D317" t="s">
        <v>199</v>
      </c>
      <c r="E317" t="s">
        <v>75</v>
      </c>
      <c r="F317" t="s">
        <v>76</v>
      </c>
      <c r="G317" t="s">
        <v>77</v>
      </c>
      <c r="H317" t="s">
        <v>59</v>
      </c>
      <c r="I317" t="s">
        <v>96</v>
      </c>
      <c r="J317" t="s">
        <v>61</v>
      </c>
      <c r="K317">
        <v>1</v>
      </c>
      <c r="L317">
        <v>171</v>
      </c>
      <c r="M317" s="7">
        <v>0.05</v>
      </c>
      <c r="N317">
        <v>43.06</v>
      </c>
      <c r="O317" t="s">
        <v>39</v>
      </c>
      <c r="P317">
        <f t="shared" si="20"/>
        <v>2025</v>
      </c>
      <c r="Q317" t="str">
        <f t="shared" si="21"/>
        <v>Dec</v>
      </c>
      <c r="R317" s="3">
        <f t="shared" si="22"/>
        <v>0.25181286549707604</v>
      </c>
      <c r="S317" t="str">
        <f t="shared" si="23"/>
        <v>Low</v>
      </c>
      <c r="T317">
        <f t="shared" si="24"/>
        <v>12</v>
      </c>
    </row>
    <row r="318" spans="1:20">
      <c r="A318" t="s">
        <v>537</v>
      </c>
      <c r="B318" s="2">
        <v>46022</v>
      </c>
      <c r="C318" t="s">
        <v>438</v>
      </c>
      <c r="D318" t="s">
        <v>439</v>
      </c>
      <c r="E318" t="s">
        <v>24</v>
      </c>
      <c r="F318" t="s">
        <v>25</v>
      </c>
      <c r="G318" t="s">
        <v>26</v>
      </c>
      <c r="H318" t="s">
        <v>127</v>
      </c>
      <c r="I318" t="s">
        <v>128</v>
      </c>
      <c r="J318" t="s">
        <v>129</v>
      </c>
      <c r="K318">
        <v>4</v>
      </c>
      <c r="L318">
        <v>7200</v>
      </c>
      <c r="M318" s="7">
        <v>0</v>
      </c>
      <c r="N318">
        <v>1006.96</v>
      </c>
      <c r="O318" t="s">
        <v>30</v>
      </c>
      <c r="P318">
        <f t="shared" si="20"/>
        <v>2025</v>
      </c>
      <c r="Q318" t="str">
        <f t="shared" si="21"/>
        <v>Dec</v>
      </c>
      <c r="R318" s="3">
        <f t="shared" si="22"/>
        <v>0.13985555555555557</v>
      </c>
      <c r="S318" t="str">
        <f t="shared" si="23"/>
        <v>Low</v>
      </c>
      <c r="T318">
        <f t="shared" si="24"/>
        <v>12</v>
      </c>
    </row>
    <row r="319" spans="1:20">
      <c r="A319" t="s">
        <v>538</v>
      </c>
      <c r="B319" s="2">
        <v>45934</v>
      </c>
      <c r="C319" t="s">
        <v>201</v>
      </c>
      <c r="D319" t="s">
        <v>202</v>
      </c>
      <c r="E319" t="s">
        <v>147</v>
      </c>
      <c r="F319" t="s">
        <v>76</v>
      </c>
      <c r="G319" t="s">
        <v>77</v>
      </c>
      <c r="H319" t="s">
        <v>27</v>
      </c>
      <c r="I319" t="s">
        <v>46</v>
      </c>
      <c r="J319" t="s">
        <v>46</v>
      </c>
      <c r="K319">
        <v>3</v>
      </c>
      <c r="L319">
        <v>637.5</v>
      </c>
      <c r="M319" s="7">
        <v>0.15</v>
      </c>
      <c r="N319">
        <v>124.87</v>
      </c>
      <c r="O319" t="s">
        <v>83</v>
      </c>
      <c r="P319">
        <f t="shared" si="20"/>
        <v>2025</v>
      </c>
      <c r="Q319" t="str">
        <f t="shared" si="21"/>
        <v>Oct</v>
      </c>
      <c r="R319" s="3">
        <f t="shared" si="22"/>
        <v>0.19587450980392157</v>
      </c>
      <c r="S319" t="str">
        <f t="shared" si="23"/>
        <v>Low</v>
      </c>
      <c r="T319">
        <f t="shared" si="24"/>
        <v>10</v>
      </c>
    </row>
    <row r="320" spans="1:20">
      <c r="A320" t="s">
        <v>539</v>
      </c>
      <c r="B320" s="2">
        <v>45835</v>
      </c>
      <c r="C320" t="s">
        <v>285</v>
      </c>
      <c r="D320" t="s">
        <v>286</v>
      </c>
      <c r="E320" t="s">
        <v>56</v>
      </c>
      <c r="F320" t="s">
        <v>57</v>
      </c>
      <c r="G320" t="s">
        <v>58</v>
      </c>
      <c r="H320" t="s">
        <v>27</v>
      </c>
      <c r="I320" t="s">
        <v>28</v>
      </c>
      <c r="J320" t="s">
        <v>29</v>
      </c>
      <c r="K320">
        <v>1</v>
      </c>
      <c r="L320">
        <v>1600</v>
      </c>
      <c r="M320" s="7">
        <v>0</v>
      </c>
      <c r="N320">
        <v>267.87</v>
      </c>
      <c r="O320" t="s">
        <v>91</v>
      </c>
      <c r="P320">
        <f t="shared" si="20"/>
        <v>2025</v>
      </c>
      <c r="Q320" t="str">
        <f t="shared" si="21"/>
        <v>Jun</v>
      </c>
      <c r="R320" s="3">
        <f t="shared" si="22"/>
        <v>0.16741875000000001</v>
      </c>
      <c r="S320" t="str">
        <f t="shared" si="23"/>
        <v>Low</v>
      </c>
      <c r="T320">
        <f t="shared" si="24"/>
        <v>6</v>
      </c>
    </row>
    <row r="321" spans="1:20">
      <c r="A321" t="s">
        <v>540</v>
      </c>
      <c r="B321" s="2">
        <v>45972</v>
      </c>
      <c r="C321" t="s">
        <v>168</v>
      </c>
      <c r="D321" t="s">
        <v>169</v>
      </c>
      <c r="E321" t="s">
        <v>114</v>
      </c>
      <c r="F321" t="s">
        <v>57</v>
      </c>
      <c r="G321" t="s">
        <v>58</v>
      </c>
      <c r="H321" t="s">
        <v>36</v>
      </c>
      <c r="I321" t="s">
        <v>37</v>
      </c>
      <c r="J321" t="s">
        <v>38</v>
      </c>
      <c r="K321">
        <v>5</v>
      </c>
      <c r="L321">
        <v>2975</v>
      </c>
      <c r="M321" s="7">
        <v>0.15</v>
      </c>
      <c r="N321">
        <v>688.85</v>
      </c>
      <c r="O321" t="s">
        <v>91</v>
      </c>
      <c r="P321">
        <f t="shared" si="20"/>
        <v>2025</v>
      </c>
      <c r="Q321" t="str">
        <f t="shared" si="21"/>
        <v>Nov</v>
      </c>
      <c r="R321" s="3">
        <f t="shared" si="22"/>
        <v>0.23154621848739496</v>
      </c>
      <c r="S321" t="str">
        <f t="shared" si="23"/>
        <v>Low</v>
      </c>
      <c r="T321">
        <f t="shared" si="24"/>
        <v>11</v>
      </c>
    </row>
    <row r="322" spans="1:20">
      <c r="A322" t="s">
        <v>541</v>
      </c>
      <c r="B322" s="2">
        <v>45774</v>
      </c>
      <c r="C322" t="s">
        <v>235</v>
      </c>
      <c r="D322" t="s">
        <v>236</v>
      </c>
      <c r="E322" t="s">
        <v>87</v>
      </c>
      <c r="F322" t="s">
        <v>44</v>
      </c>
      <c r="G322" t="s">
        <v>88</v>
      </c>
      <c r="H322" t="s">
        <v>59</v>
      </c>
      <c r="I322" t="s">
        <v>81</v>
      </c>
      <c r="J322" t="s">
        <v>82</v>
      </c>
      <c r="K322">
        <v>3</v>
      </c>
      <c r="L322">
        <v>28800</v>
      </c>
      <c r="M322" s="7">
        <v>0.2</v>
      </c>
      <c r="N322">
        <v>5951.12</v>
      </c>
      <c r="O322" t="s">
        <v>30</v>
      </c>
      <c r="P322">
        <f t="shared" ref="P322:P385" si="25">YEAR(B322)</f>
        <v>2025</v>
      </c>
      <c r="Q322" t="str">
        <f t="shared" ref="Q322:Q385" si="26">TEXT(B322,"mmm")</f>
        <v>Apr</v>
      </c>
      <c r="R322" s="3">
        <f t="shared" ref="R322:R385" si="27">N322/L322</f>
        <v>0.2066361111111111</v>
      </c>
      <c r="S322" t="str">
        <f t="shared" ref="S322:S385" si="28">IF(L322&gt;=30000,"High","Low")</f>
        <v>Low</v>
      </c>
      <c r="T322">
        <f t="shared" ref="T322:T385" si="29">MONTH(B322)</f>
        <v>4</v>
      </c>
    </row>
    <row r="323" spans="1:20">
      <c r="A323" t="s">
        <v>542</v>
      </c>
      <c r="B323" s="2">
        <v>45974</v>
      </c>
      <c r="C323" t="s">
        <v>48</v>
      </c>
      <c r="D323" t="s">
        <v>49</v>
      </c>
      <c r="E323" t="s">
        <v>70</v>
      </c>
      <c r="F323" t="s">
        <v>25</v>
      </c>
      <c r="G323" t="s">
        <v>26</v>
      </c>
      <c r="H323" t="s">
        <v>27</v>
      </c>
      <c r="I323" t="s">
        <v>28</v>
      </c>
      <c r="J323" t="s">
        <v>29</v>
      </c>
      <c r="K323">
        <v>3</v>
      </c>
      <c r="L323">
        <v>2520</v>
      </c>
      <c r="M323" s="7">
        <v>0.3</v>
      </c>
      <c r="N323">
        <v>160.72</v>
      </c>
      <c r="O323" t="s">
        <v>91</v>
      </c>
      <c r="P323">
        <f t="shared" si="25"/>
        <v>2025</v>
      </c>
      <c r="Q323" t="str">
        <f t="shared" si="26"/>
        <v>Nov</v>
      </c>
      <c r="R323" s="3">
        <f t="shared" si="27"/>
        <v>6.377777777777778E-2</v>
      </c>
      <c r="S323" t="str">
        <f t="shared" si="28"/>
        <v>Low</v>
      </c>
      <c r="T323">
        <f t="shared" si="29"/>
        <v>11</v>
      </c>
    </row>
    <row r="324" spans="1:20">
      <c r="A324" t="s">
        <v>543</v>
      </c>
      <c r="B324" s="2">
        <v>46022</v>
      </c>
      <c r="C324" t="s">
        <v>288</v>
      </c>
      <c r="D324" t="s">
        <v>289</v>
      </c>
      <c r="E324" t="s">
        <v>43</v>
      </c>
      <c r="F324" t="s">
        <v>44</v>
      </c>
      <c r="G324" t="s">
        <v>45</v>
      </c>
      <c r="H324" t="s">
        <v>36</v>
      </c>
      <c r="I324" t="s">
        <v>37</v>
      </c>
      <c r="J324" t="s">
        <v>38</v>
      </c>
      <c r="K324">
        <v>2</v>
      </c>
      <c r="L324">
        <v>12750</v>
      </c>
      <c r="M324" s="7">
        <v>0.25</v>
      </c>
      <c r="N324">
        <v>1088.5999999999999</v>
      </c>
      <c r="O324" t="s">
        <v>83</v>
      </c>
      <c r="P324">
        <f t="shared" si="25"/>
        <v>2025</v>
      </c>
      <c r="Q324" t="str">
        <f t="shared" si="26"/>
        <v>Dec</v>
      </c>
      <c r="R324" s="3">
        <f t="shared" si="27"/>
        <v>8.5380392156862744E-2</v>
      </c>
      <c r="S324" t="str">
        <f t="shared" si="28"/>
        <v>Low</v>
      </c>
      <c r="T324">
        <f t="shared" si="29"/>
        <v>12</v>
      </c>
    </row>
    <row r="325" spans="1:20">
      <c r="A325" t="s">
        <v>544</v>
      </c>
      <c r="B325" s="2">
        <v>45885</v>
      </c>
      <c r="C325" t="s">
        <v>195</v>
      </c>
      <c r="D325" t="s">
        <v>196</v>
      </c>
      <c r="E325" t="s">
        <v>103</v>
      </c>
      <c r="F325" t="s">
        <v>25</v>
      </c>
      <c r="G325" t="s">
        <v>104</v>
      </c>
      <c r="H325" t="s">
        <v>59</v>
      </c>
      <c r="I325" t="s">
        <v>96</v>
      </c>
      <c r="J325" t="s">
        <v>61</v>
      </c>
      <c r="K325">
        <v>3</v>
      </c>
      <c r="L325">
        <v>58800</v>
      </c>
      <c r="M325" s="7">
        <v>0.3</v>
      </c>
      <c r="N325">
        <v>3764.1</v>
      </c>
      <c r="O325" t="s">
        <v>39</v>
      </c>
      <c r="P325">
        <f t="shared" si="25"/>
        <v>2025</v>
      </c>
      <c r="Q325" t="str">
        <f t="shared" si="26"/>
        <v>Aug</v>
      </c>
      <c r="R325" s="3">
        <f t="shared" si="27"/>
        <v>6.4015306122448976E-2</v>
      </c>
      <c r="S325" t="str">
        <f t="shared" si="28"/>
        <v>High</v>
      </c>
      <c r="T325">
        <f t="shared" si="29"/>
        <v>8</v>
      </c>
    </row>
    <row r="326" spans="1:20">
      <c r="A326" t="s">
        <v>545</v>
      </c>
      <c r="B326" s="2">
        <v>45943</v>
      </c>
      <c r="C326" t="s">
        <v>221</v>
      </c>
      <c r="D326" t="s">
        <v>222</v>
      </c>
      <c r="E326" t="s">
        <v>87</v>
      </c>
      <c r="F326" t="s">
        <v>44</v>
      </c>
      <c r="G326" t="s">
        <v>88</v>
      </c>
      <c r="H326" t="s">
        <v>127</v>
      </c>
      <c r="I326" t="s">
        <v>128</v>
      </c>
      <c r="J326" t="s">
        <v>129</v>
      </c>
      <c r="K326">
        <v>5</v>
      </c>
      <c r="L326">
        <v>48000</v>
      </c>
      <c r="M326" s="7">
        <v>0.2</v>
      </c>
      <c r="N326">
        <v>5774.2</v>
      </c>
      <c r="O326" t="s">
        <v>91</v>
      </c>
      <c r="P326">
        <f t="shared" si="25"/>
        <v>2025</v>
      </c>
      <c r="Q326" t="str">
        <f t="shared" si="26"/>
        <v>Oct</v>
      </c>
      <c r="R326" s="3">
        <f t="shared" si="27"/>
        <v>0.12029583333333332</v>
      </c>
      <c r="S326" t="str">
        <f t="shared" si="28"/>
        <v>High</v>
      </c>
      <c r="T326">
        <f t="shared" si="29"/>
        <v>10</v>
      </c>
    </row>
    <row r="327" spans="1:20">
      <c r="A327" t="s">
        <v>546</v>
      </c>
      <c r="B327" s="2">
        <v>45963</v>
      </c>
      <c r="C327" t="s">
        <v>273</v>
      </c>
      <c r="D327" t="s">
        <v>212</v>
      </c>
      <c r="E327" t="s">
        <v>70</v>
      </c>
      <c r="F327" t="s">
        <v>25</v>
      </c>
      <c r="G327" t="s">
        <v>26</v>
      </c>
      <c r="H327" t="s">
        <v>59</v>
      </c>
      <c r="I327" t="s">
        <v>81</v>
      </c>
      <c r="J327" t="s">
        <v>82</v>
      </c>
      <c r="K327">
        <v>5</v>
      </c>
      <c r="L327">
        <v>4200</v>
      </c>
      <c r="M327" s="7">
        <v>0.3</v>
      </c>
      <c r="N327">
        <v>235.17</v>
      </c>
      <c r="O327" t="s">
        <v>91</v>
      </c>
      <c r="P327">
        <f t="shared" si="25"/>
        <v>2025</v>
      </c>
      <c r="Q327" t="str">
        <f t="shared" si="26"/>
        <v>Nov</v>
      </c>
      <c r="R327" s="3">
        <f t="shared" si="27"/>
        <v>5.5992857142857143E-2</v>
      </c>
      <c r="S327" t="str">
        <f t="shared" si="28"/>
        <v>Low</v>
      </c>
      <c r="T327">
        <f t="shared" si="29"/>
        <v>11</v>
      </c>
    </row>
    <row r="328" spans="1:20">
      <c r="A328" t="s">
        <v>547</v>
      </c>
      <c r="B328" s="2">
        <v>45701</v>
      </c>
      <c r="C328" t="s">
        <v>134</v>
      </c>
      <c r="D328" t="s">
        <v>135</v>
      </c>
      <c r="E328" t="s">
        <v>43</v>
      </c>
      <c r="F328" t="s">
        <v>44</v>
      </c>
      <c r="G328" t="s">
        <v>45</v>
      </c>
      <c r="H328" t="s">
        <v>36</v>
      </c>
      <c r="I328" t="s">
        <v>37</v>
      </c>
      <c r="J328" t="s">
        <v>38</v>
      </c>
      <c r="K328">
        <v>5</v>
      </c>
      <c r="L328">
        <v>40375</v>
      </c>
      <c r="M328" s="7">
        <v>0.05</v>
      </c>
      <c r="N328">
        <v>7359.24</v>
      </c>
      <c r="O328" t="s">
        <v>71</v>
      </c>
      <c r="P328">
        <f t="shared" si="25"/>
        <v>2025</v>
      </c>
      <c r="Q328" t="str">
        <f t="shared" si="26"/>
        <v>Feb</v>
      </c>
      <c r="R328" s="3">
        <f t="shared" si="27"/>
        <v>0.18227219814241485</v>
      </c>
      <c r="S328" t="str">
        <f t="shared" si="28"/>
        <v>High</v>
      </c>
      <c r="T328">
        <f t="shared" si="29"/>
        <v>2</v>
      </c>
    </row>
    <row r="329" spans="1:20">
      <c r="A329" t="s">
        <v>548</v>
      </c>
      <c r="B329" s="2">
        <v>45795</v>
      </c>
      <c r="C329" t="s">
        <v>41</v>
      </c>
      <c r="D329" t="s">
        <v>42</v>
      </c>
      <c r="E329" t="s">
        <v>24</v>
      </c>
      <c r="F329" t="s">
        <v>25</v>
      </c>
      <c r="G329" t="s">
        <v>26</v>
      </c>
      <c r="H329" t="s">
        <v>27</v>
      </c>
      <c r="I329" t="s">
        <v>46</v>
      </c>
      <c r="J329" t="s">
        <v>46</v>
      </c>
      <c r="K329">
        <v>3</v>
      </c>
      <c r="L329">
        <v>4860</v>
      </c>
      <c r="M329" s="7">
        <v>0.1</v>
      </c>
      <c r="N329">
        <v>763.23</v>
      </c>
      <c r="O329" t="s">
        <v>71</v>
      </c>
      <c r="P329">
        <f t="shared" si="25"/>
        <v>2025</v>
      </c>
      <c r="Q329" t="str">
        <f t="shared" si="26"/>
        <v>May</v>
      </c>
      <c r="R329" s="3">
        <f t="shared" si="27"/>
        <v>0.15704320987654322</v>
      </c>
      <c r="S329" t="str">
        <f t="shared" si="28"/>
        <v>Low</v>
      </c>
      <c r="T329">
        <f t="shared" si="29"/>
        <v>5</v>
      </c>
    </row>
    <row r="330" spans="1:20">
      <c r="A330" t="s">
        <v>549</v>
      </c>
      <c r="B330" s="2">
        <v>45811</v>
      </c>
      <c r="C330" t="s">
        <v>227</v>
      </c>
      <c r="D330" t="s">
        <v>228</v>
      </c>
      <c r="E330" t="s">
        <v>43</v>
      </c>
      <c r="F330" t="s">
        <v>44</v>
      </c>
      <c r="G330" t="s">
        <v>45</v>
      </c>
      <c r="H330" t="s">
        <v>27</v>
      </c>
      <c r="I330" t="s">
        <v>65</v>
      </c>
      <c r="J330" t="s">
        <v>66</v>
      </c>
      <c r="K330">
        <v>4</v>
      </c>
      <c r="L330">
        <v>23800</v>
      </c>
      <c r="M330" s="7">
        <v>0.3</v>
      </c>
      <c r="N330">
        <v>392.86</v>
      </c>
      <c r="O330" t="s">
        <v>39</v>
      </c>
      <c r="P330">
        <f t="shared" si="25"/>
        <v>2025</v>
      </c>
      <c r="Q330" t="str">
        <f t="shared" si="26"/>
        <v>Jun</v>
      </c>
      <c r="R330" s="3">
        <f t="shared" si="27"/>
        <v>1.6506722689075631E-2</v>
      </c>
      <c r="S330" t="str">
        <f t="shared" si="28"/>
        <v>Low</v>
      </c>
      <c r="T330">
        <f t="shared" si="29"/>
        <v>6</v>
      </c>
    </row>
    <row r="331" spans="1:20">
      <c r="A331" t="s">
        <v>550</v>
      </c>
      <c r="B331" s="2">
        <v>45973</v>
      </c>
      <c r="C331" t="s">
        <v>178</v>
      </c>
      <c r="D331" t="s">
        <v>86</v>
      </c>
      <c r="E331" t="s">
        <v>75</v>
      </c>
      <c r="F331" t="s">
        <v>76</v>
      </c>
      <c r="G331" t="s">
        <v>77</v>
      </c>
      <c r="H331" t="s">
        <v>36</v>
      </c>
      <c r="I331" t="s">
        <v>37</v>
      </c>
      <c r="J331" t="s">
        <v>38</v>
      </c>
      <c r="K331">
        <v>2</v>
      </c>
      <c r="L331">
        <v>306</v>
      </c>
      <c r="M331" s="7">
        <v>0.15</v>
      </c>
      <c r="N331">
        <v>18.350000000000001</v>
      </c>
      <c r="O331" t="s">
        <v>71</v>
      </c>
      <c r="P331">
        <f t="shared" si="25"/>
        <v>2025</v>
      </c>
      <c r="Q331" t="str">
        <f t="shared" si="26"/>
        <v>Nov</v>
      </c>
      <c r="R331" s="3">
        <f t="shared" si="27"/>
        <v>5.9967320261437911E-2</v>
      </c>
      <c r="S331" t="str">
        <f t="shared" si="28"/>
        <v>Low</v>
      </c>
      <c r="T331">
        <f t="shared" si="29"/>
        <v>11</v>
      </c>
    </row>
    <row r="332" spans="1:20">
      <c r="A332" t="s">
        <v>551</v>
      </c>
      <c r="B332" s="2">
        <v>45975</v>
      </c>
      <c r="C332" t="s">
        <v>112</v>
      </c>
      <c r="D332" t="s">
        <v>113</v>
      </c>
      <c r="E332" t="s">
        <v>142</v>
      </c>
      <c r="F332" t="s">
        <v>25</v>
      </c>
      <c r="G332" t="s">
        <v>143</v>
      </c>
      <c r="H332" t="s">
        <v>36</v>
      </c>
      <c r="I332" t="s">
        <v>115</v>
      </c>
      <c r="J332" t="s">
        <v>116</v>
      </c>
      <c r="K332">
        <v>4</v>
      </c>
      <c r="L332">
        <v>32200</v>
      </c>
      <c r="M332" s="7">
        <v>0.3</v>
      </c>
      <c r="N332">
        <v>5133.42</v>
      </c>
      <c r="O332" t="s">
        <v>71</v>
      </c>
      <c r="P332">
        <f t="shared" si="25"/>
        <v>2025</v>
      </c>
      <c r="Q332" t="str">
        <f t="shared" si="26"/>
        <v>Nov</v>
      </c>
      <c r="R332" s="3">
        <f t="shared" si="27"/>
        <v>0.15942298136645963</v>
      </c>
      <c r="S332" t="str">
        <f t="shared" si="28"/>
        <v>High</v>
      </c>
      <c r="T332">
        <f t="shared" si="29"/>
        <v>11</v>
      </c>
    </row>
    <row r="333" spans="1:20">
      <c r="A333" t="s">
        <v>552</v>
      </c>
      <c r="B333" s="2">
        <v>45811</v>
      </c>
      <c r="C333" t="s">
        <v>155</v>
      </c>
      <c r="D333" t="s">
        <v>99</v>
      </c>
      <c r="E333" t="s">
        <v>24</v>
      </c>
      <c r="F333" t="s">
        <v>25</v>
      </c>
      <c r="G333" t="s">
        <v>26</v>
      </c>
      <c r="H333" t="s">
        <v>36</v>
      </c>
      <c r="I333" t="s">
        <v>115</v>
      </c>
      <c r="J333" t="s">
        <v>116</v>
      </c>
      <c r="K333">
        <v>3</v>
      </c>
      <c r="L333">
        <v>4320</v>
      </c>
      <c r="M333" s="7">
        <v>0.2</v>
      </c>
      <c r="N333">
        <v>947.87</v>
      </c>
      <c r="O333" t="s">
        <v>91</v>
      </c>
      <c r="P333">
        <f t="shared" si="25"/>
        <v>2025</v>
      </c>
      <c r="Q333" t="str">
        <f t="shared" si="26"/>
        <v>Jun</v>
      </c>
      <c r="R333" s="3">
        <f t="shared" si="27"/>
        <v>0.21941435185185185</v>
      </c>
      <c r="S333" t="str">
        <f t="shared" si="28"/>
        <v>Low</v>
      </c>
      <c r="T333">
        <f t="shared" si="29"/>
        <v>6</v>
      </c>
    </row>
    <row r="334" spans="1:20">
      <c r="A334" t="s">
        <v>553</v>
      </c>
      <c r="B334" s="2">
        <v>45821</v>
      </c>
      <c r="C334" t="s">
        <v>372</v>
      </c>
      <c r="D334" t="s">
        <v>373</v>
      </c>
      <c r="E334" t="s">
        <v>43</v>
      </c>
      <c r="F334" t="s">
        <v>44</v>
      </c>
      <c r="G334" t="s">
        <v>45</v>
      </c>
      <c r="H334" t="s">
        <v>27</v>
      </c>
      <c r="I334" t="s">
        <v>46</v>
      </c>
      <c r="J334" t="s">
        <v>46</v>
      </c>
      <c r="K334">
        <v>3</v>
      </c>
      <c r="L334">
        <v>19125</v>
      </c>
      <c r="M334" s="7">
        <v>0.25</v>
      </c>
      <c r="N334">
        <v>2645.06</v>
      </c>
      <c r="O334" t="s">
        <v>30</v>
      </c>
      <c r="P334">
        <f t="shared" si="25"/>
        <v>2025</v>
      </c>
      <c r="Q334" t="str">
        <f t="shared" si="26"/>
        <v>Jun</v>
      </c>
      <c r="R334" s="3">
        <f t="shared" si="27"/>
        <v>0.1383037908496732</v>
      </c>
      <c r="S334" t="str">
        <f t="shared" si="28"/>
        <v>Low</v>
      </c>
      <c r="T334">
        <f t="shared" si="29"/>
        <v>6</v>
      </c>
    </row>
    <row r="335" spans="1:20">
      <c r="A335" t="s">
        <v>554</v>
      </c>
      <c r="B335" s="2">
        <v>45850</v>
      </c>
      <c r="C335" t="s">
        <v>427</v>
      </c>
      <c r="D335" t="s">
        <v>428</v>
      </c>
      <c r="E335" t="s">
        <v>160</v>
      </c>
      <c r="F335" t="s">
        <v>25</v>
      </c>
      <c r="G335" t="s">
        <v>161</v>
      </c>
      <c r="H335" t="s">
        <v>27</v>
      </c>
      <c r="I335" t="s">
        <v>65</v>
      </c>
      <c r="J335" t="s">
        <v>66</v>
      </c>
      <c r="K335">
        <v>3</v>
      </c>
      <c r="L335">
        <v>6720</v>
      </c>
      <c r="M335" s="7">
        <v>0.3</v>
      </c>
      <c r="N335">
        <v>1006.64</v>
      </c>
      <c r="O335" t="s">
        <v>30</v>
      </c>
      <c r="P335">
        <f t="shared" si="25"/>
        <v>2025</v>
      </c>
      <c r="Q335" t="str">
        <f t="shared" si="26"/>
        <v>Jul</v>
      </c>
      <c r="R335" s="3">
        <f t="shared" si="27"/>
        <v>0.14979761904761904</v>
      </c>
      <c r="S335" t="str">
        <f t="shared" si="28"/>
        <v>Low</v>
      </c>
      <c r="T335">
        <f t="shared" si="29"/>
        <v>7</v>
      </c>
    </row>
    <row r="336" spans="1:20">
      <c r="A336" t="s">
        <v>555</v>
      </c>
      <c r="B336" s="2">
        <v>45937</v>
      </c>
      <c r="C336" t="s">
        <v>140</v>
      </c>
      <c r="D336" t="s">
        <v>141</v>
      </c>
      <c r="E336" t="s">
        <v>75</v>
      </c>
      <c r="F336" t="s">
        <v>76</v>
      </c>
      <c r="G336" t="s">
        <v>77</v>
      </c>
      <c r="H336" t="s">
        <v>127</v>
      </c>
      <c r="I336" t="s">
        <v>128</v>
      </c>
      <c r="J336" t="s">
        <v>129</v>
      </c>
      <c r="K336">
        <v>2</v>
      </c>
      <c r="L336">
        <v>270</v>
      </c>
      <c r="M336" s="7">
        <v>0.25</v>
      </c>
      <c r="N336">
        <v>49.1</v>
      </c>
      <c r="O336" t="s">
        <v>71</v>
      </c>
      <c r="P336">
        <f t="shared" si="25"/>
        <v>2025</v>
      </c>
      <c r="Q336" t="str">
        <f t="shared" si="26"/>
        <v>Oct</v>
      </c>
      <c r="R336" s="3">
        <f t="shared" si="27"/>
        <v>0.18185185185185185</v>
      </c>
      <c r="S336" t="str">
        <f t="shared" si="28"/>
        <v>Low</v>
      </c>
      <c r="T336">
        <f t="shared" si="29"/>
        <v>10</v>
      </c>
    </row>
    <row r="337" spans="1:20">
      <c r="A337" t="s">
        <v>556</v>
      </c>
      <c r="B337" s="2">
        <v>45807</v>
      </c>
      <c r="C337" t="s">
        <v>106</v>
      </c>
      <c r="D337" t="s">
        <v>107</v>
      </c>
      <c r="E337" t="s">
        <v>87</v>
      </c>
      <c r="F337" t="s">
        <v>44</v>
      </c>
      <c r="G337" t="s">
        <v>88</v>
      </c>
      <c r="H337" t="s">
        <v>59</v>
      </c>
      <c r="I337" t="s">
        <v>81</v>
      </c>
      <c r="J337" t="s">
        <v>82</v>
      </c>
      <c r="K337">
        <v>1</v>
      </c>
      <c r="L337">
        <v>8400</v>
      </c>
      <c r="M337" s="7">
        <v>0.3</v>
      </c>
      <c r="N337">
        <v>1091.4000000000001</v>
      </c>
      <c r="O337" t="s">
        <v>71</v>
      </c>
      <c r="P337">
        <f t="shared" si="25"/>
        <v>2025</v>
      </c>
      <c r="Q337" t="str">
        <f t="shared" si="26"/>
        <v>May</v>
      </c>
      <c r="R337" s="3">
        <f t="shared" si="27"/>
        <v>0.12992857142857145</v>
      </c>
      <c r="S337" t="str">
        <f t="shared" si="28"/>
        <v>Low</v>
      </c>
      <c r="T337">
        <f t="shared" si="29"/>
        <v>5</v>
      </c>
    </row>
    <row r="338" spans="1:20">
      <c r="A338" t="s">
        <v>557</v>
      </c>
      <c r="B338" s="2">
        <v>45813</v>
      </c>
      <c r="C338" t="s">
        <v>101</v>
      </c>
      <c r="D338" t="s">
        <v>102</v>
      </c>
      <c r="E338" t="s">
        <v>147</v>
      </c>
      <c r="F338" t="s">
        <v>76</v>
      </c>
      <c r="G338" t="s">
        <v>77</v>
      </c>
      <c r="H338" t="s">
        <v>27</v>
      </c>
      <c r="I338" t="s">
        <v>28</v>
      </c>
      <c r="J338" t="s">
        <v>29</v>
      </c>
      <c r="K338">
        <v>2</v>
      </c>
      <c r="L338">
        <v>450</v>
      </c>
      <c r="M338" s="7">
        <v>0.1</v>
      </c>
      <c r="N338">
        <v>78.23</v>
      </c>
      <c r="O338" t="s">
        <v>71</v>
      </c>
      <c r="P338">
        <f t="shared" si="25"/>
        <v>2025</v>
      </c>
      <c r="Q338" t="str">
        <f t="shared" si="26"/>
        <v>Jun</v>
      </c>
      <c r="R338" s="3">
        <f t="shared" si="27"/>
        <v>0.17384444444444444</v>
      </c>
      <c r="S338" t="str">
        <f t="shared" si="28"/>
        <v>Low</v>
      </c>
      <c r="T338">
        <f t="shared" si="29"/>
        <v>6</v>
      </c>
    </row>
    <row r="339" spans="1:20">
      <c r="A339" t="s">
        <v>558</v>
      </c>
      <c r="B339" s="2">
        <v>45964</v>
      </c>
      <c r="C339" t="s">
        <v>259</v>
      </c>
      <c r="D339" t="s">
        <v>260</v>
      </c>
      <c r="E339" t="s">
        <v>87</v>
      </c>
      <c r="F339" t="s">
        <v>44</v>
      </c>
      <c r="G339" t="s">
        <v>88</v>
      </c>
      <c r="H339" t="s">
        <v>27</v>
      </c>
      <c r="I339" t="s">
        <v>65</v>
      </c>
      <c r="J339" t="s">
        <v>66</v>
      </c>
      <c r="K339">
        <v>4</v>
      </c>
      <c r="L339">
        <v>38400</v>
      </c>
      <c r="M339" s="7">
        <v>0.2</v>
      </c>
      <c r="N339">
        <v>3641.49</v>
      </c>
      <c r="O339" t="s">
        <v>71</v>
      </c>
      <c r="P339">
        <f t="shared" si="25"/>
        <v>2025</v>
      </c>
      <c r="Q339" t="str">
        <f t="shared" si="26"/>
        <v>Nov</v>
      </c>
      <c r="R339" s="3">
        <f t="shared" si="27"/>
        <v>9.4830468749999994E-2</v>
      </c>
      <c r="S339" t="str">
        <f t="shared" si="28"/>
        <v>High</v>
      </c>
      <c r="T339">
        <f t="shared" si="29"/>
        <v>11</v>
      </c>
    </row>
    <row r="340" spans="1:20">
      <c r="A340" t="s">
        <v>559</v>
      </c>
      <c r="B340" s="2">
        <v>45842</v>
      </c>
      <c r="C340" t="s">
        <v>198</v>
      </c>
      <c r="D340" t="s">
        <v>199</v>
      </c>
      <c r="E340" t="s">
        <v>34</v>
      </c>
      <c r="F340" t="s">
        <v>25</v>
      </c>
      <c r="G340" t="s">
        <v>35</v>
      </c>
      <c r="H340" t="s">
        <v>59</v>
      </c>
      <c r="I340" t="s">
        <v>96</v>
      </c>
      <c r="J340" t="s">
        <v>61</v>
      </c>
      <c r="K340">
        <v>5</v>
      </c>
      <c r="L340">
        <v>220000</v>
      </c>
      <c r="M340" s="7">
        <v>0.2</v>
      </c>
      <c r="N340">
        <v>35945.129999999997</v>
      </c>
      <c r="O340" t="s">
        <v>39</v>
      </c>
      <c r="P340">
        <f t="shared" si="25"/>
        <v>2025</v>
      </c>
      <c r="Q340" t="str">
        <f t="shared" si="26"/>
        <v>Jul</v>
      </c>
      <c r="R340" s="3">
        <f t="shared" si="27"/>
        <v>0.16338695454545454</v>
      </c>
      <c r="S340" t="str">
        <f t="shared" si="28"/>
        <v>High</v>
      </c>
      <c r="T340">
        <f t="shared" si="29"/>
        <v>7</v>
      </c>
    </row>
    <row r="341" spans="1:20">
      <c r="A341" t="s">
        <v>560</v>
      </c>
      <c r="B341" s="2">
        <v>45989</v>
      </c>
      <c r="C341" t="s">
        <v>124</v>
      </c>
      <c r="D341" t="s">
        <v>125</v>
      </c>
      <c r="E341" t="s">
        <v>24</v>
      </c>
      <c r="F341" t="s">
        <v>25</v>
      </c>
      <c r="G341" t="s">
        <v>26</v>
      </c>
      <c r="H341" t="s">
        <v>127</v>
      </c>
      <c r="I341" t="s">
        <v>128</v>
      </c>
      <c r="J341" t="s">
        <v>129</v>
      </c>
      <c r="K341">
        <v>5</v>
      </c>
      <c r="L341">
        <v>9000</v>
      </c>
      <c r="M341" s="7">
        <v>0</v>
      </c>
      <c r="N341">
        <v>1733.8</v>
      </c>
      <c r="O341" t="s">
        <v>71</v>
      </c>
      <c r="P341">
        <f t="shared" si="25"/>
        <v>2025</v>
      </c>
      <c r="Q341" t="str">
        <f t="shared" si="26"/>
        <v>Nov</v>
      </c>
      <c r="R341" s="3">
        <f t="shared" si="27"/>
        <v>0.19264444444444445</v>
      </c>
      <c r="S341" t="str">
        <f t="shared" si="28"/>
        <v>Low</v>
      </c>
      <c r="T341">
        <f t="shared" si="29"/>
        <v>11</v>
      </c>
    </row>
    <row r="342" spans="1:20">
      <c r="A342" t="s">
        <v>561</v>
      </c>
      <c r="B342" s="2">
        <v>45878</v>
      </c>
      <c r="C342" t="s">
        <v>112</v>
      </c>
      <c r="D342" t="s">
        <v>113</v>
      </c>
      <c r="E342" t="s">
        <v>114</v>
      </c>
      <c r="F342" t="s">
        <v>57</v>
      </c>
      <c r="G342" t="s">
        <v>58</v>
      </c>
      <c r="H342" t="s">
        <v>36</v>
      </c>
      <c r="I342" t="s">
        <v>115</v>
      </c>
      <c r="J342" t="s">
        <v>116</v>
      </c>
      <c r="K342">
        <v>1</v>
      </c>
      <c r="L342">
        <v>700</v>
      </c>
      <c r="M342" s="7">
        <v>0</v>
      </c>
      <c r="N342">
        <v>69.8</v>
      </c>
      <c r="O342" t="s">
        <v>30</v>
      </c>
      <c r="P342">
        <f t="shared" si="25"/>
        <v>2025</v>
      </c>
      <c r="Q342" t="str">
        <f t="shared" si="26"/>
        <v>Aug</v>
      </c>
      <c r="R342" s="3">
        <f t="shared" si="27"/>
        <v>9.9714285714285714E-2</v>
      </c>
      <c r="S342" t="str">
        <f t="shared" si="28"/>
        <v>Low</v>
      </c>
      <c r="T342">
        <f t="shared" si="29"/>
        <v>8</v>
      </c>
    </row>
    <row r="343" spans="1:20">
      <c r="A343" t="s">
        <v>562</v>
      </c>
      <c r="B343" s="2">
        <v>46010</v>
      </c>
      <c r="C343" t="s">
        <v>118</v>
      </c>
      <c r="D343" t="s">
        <v>119</v>
      </c>
      <c r="E343" t="s">
        <v>75</v>
      </c>
      <c r="F343" t="s">
        <v>76</v>
      </c>
      <c r="G343" t="s">
        <v>77</v>
      </c>
      <c r="H343" t="s">
        <v>27</v>
      </c>
      <c r="I343" t="s">
        <v>28</v>
      </c>
      <c r="J343" t="s">
        <v>29</v>
      </c>
      <c r="K343">
        <v>5</v>
      </c>
      <c r="L343">
        <v>855</v>
      </c>
      <c r="M343" s="7">
        <v>0.05</v>
      </c>
      <c r="N343">
        <v>131.9</v>
      </c>
      <c r="O343" t="s">
        <v>30</v>
      </c>
      <c r="P343">
        <f t="shared" si="25"/>
        <v>2025</v>
      </c>
      <c r="Q343" t="str">
        <f t="shared" si="26"/>
        <v>Dec</v>
      </c>
      <c r="R343" s="3">
        <f t="shared" si="27"/>
        <v>0.15426900584795322</v>
      </c>
      <c r="S343" t="str">
        <f t="shared" si="28"/>
        <v>Low</v>
      </c>
      <c r="T343">
        <f t="shared" si="29"/>
        <v>12</v>
      </c>
    </row>
    <row r="344" spans="1:20">
      <c r="A344" t="s">
        <v>563</v>
      </c>
      <c r="B344" s="2">
        <v>45834</v>
      </c>
      <c r="C344" t="s">
        <v>285</v>
      </c>
      <c r="D344" t="s">
        <v>286</v>
      </c>
      <c r="E344" t="s">
        <v>24</v>
      </c>
      <c r="F344" t="s">
        <v>25</v>
      </c>
      <c r="G344" t="s">
        <v>26</v>
      </c>
      <c r="H344" t="s">
        <v>27</v>
      </c>
      <c r="I344" t="s">
        <v>28</v>
      </c>
      <c r="J344" t="s">
        <v>29</v>
      </c>
      <c r="K344">
        <v>1</v>
      </c>
      <c r="L344">
        <v>1530</v>
      </c>
      <c r="M344" s="7">
        <v>0.15</v>
      </c>
      <c r="N344">
        <v>84.63</v>
      </c>
      <c r="O344" t="s">
        <v>83</v>
      </c>
      <c r="P344">
        <f t="shared" si="25"/>
        <v>2025</v>
      </c>
      <c r="Q344" t="str">
        <f t="shared" si="26"/>
        <v>Jun</v>
      </c>
      <c r="R344" s="3">
        <f t="shared" si="27"/>
        <v>5.5313725490196072E-2</v>
      </c>
      <c r="S344" t="str">
        <f t="shared" si="28"/>
        <v>Low</v>
      </c>
      <c r="T344">
        <f t="shared" si="29"/>
        <v>6</v>
      </c>
    </row>
    <row r="345" spans="1:20">
      <c r="A345" t="s">
        <v>564</v>
      </c>
      <c r="B345" s="2">
        <v>45730</v>
      </c>
      <c r="C345" t="s">
        <v>152</v>
      </c>
      <c r="D345" t="s">
        <v>153</v>
      </c>
      <c r="E345" t="s">
        <v>142</v>
      </c>
      <c r="F345" t="s">
        <v>25</v>
      </c>
      <c r="G345" t="s">
        <v>143</v>
      </c>
      <c r="H345" t="s">
        <v>127</v>
      </c>
      <c r="I345" t="s">
        <v>128</v>
      </c>
      <c r="J345" t="s">
        <v>129</v>
      </c>
      <c r="K345">
        <v>3</v>
      </c>
      <c r="L345">
        <v>31050</v>
      </c>
      <c r="M345" s="7">
        <v>0.1</v>
      </c>
      <c r="N345">
        <v>3384.65</v>
      </c>
      <c r="O345" t="s">
        <v>30</v>
      </c>
      <c r="P345">
        <f t="shared" si="25"/>
        <v>2025</v>
      </c>
      <c r="Q345" t="str">
        <f t="shared" si="26"/>
        <v>Mar</v>
      </c>
      <c r="R345" s="3">
        <f t="shared" si="27"/>
        <v>0.10900644122383253</v>
      </c>
      <c r="S345" t="str">
        <f t="shared" si="28"/>
        <v>High</v>
      </c>
      <c r="T345">
        <f t="shared" si="29"/>
        <v>3</v>
      </c>
    </row>
    <row r="346" spans="1:20">
      <c r="A346" t="s">
        <v>565</v>
      </c>
      <c r="B346" s="2">
        <v>45901</v>
      </c>
      <c r="C346" t="s">
        <v>247</v>
      </c>
      <c r="D346" t="s">
        <v>169</v>
      </c>
      <c r="E346" t="s">
        <v>160</v>
      </c>
      <c r="F346" t="s">
        <v>25</v>
      </c>
      <c r="G346" t="s">
        <v>161</v>
      </c>
      <c r="H346" t="s">
        <v>127</v>
      </c>
      <c r="I346" t="s">
        <v>128</v>
      </c>
      <c r="J346" t="s">
        <v>129</v>
      </c>
      <c r="K346">
        <v>1</v>
      </c>
      <c r="L346">
        <v>2720</v>
      </c>
      <c r="M346" s="7">
        <v>0.15</v>
      </c>
      <c r="N346">
        <v>482.62</v>
      </c>
      <c r="O346" t="s">
        <v>83</v>
      </c>
      <c r="P346">
        <f t="shared" si="25"/>
        <v>2025</v>
      </c>
      <c r="Q346" t="str">
        <f t="shared" si="26"/>
        <v>Sep</v>
      </c>
      <c r="R346" s="3">
        <f t="shared" si="27"/>
        <v>0.17743382352941175</v>
      </c>
      <c r="S346" t="str">
        <f t="shared" si="28"/>
        <v>Low</v>
      </c>
      <c r="T346">
        <f t="shared" si="29"/>
        <v>9</v>
      </c>
    </row>
    <row r="347" spans="1:20">
      <c r="A347" t="s">
        <v>566</v>
      </c>
      <c r="B347" s="2">
        <v>46021</v>
      </c>
      <c r="C347" t="s">
        <v>98</v>
      </c>
      <c r="D347" t="s">
        <v>99</v>
      </c>
      <c r="E347" t="s">
        <v>34</v>
      </c>
      <c r="F347" t="s">
        <v>25</v>
      </c>
      <c r="G347" t="s">
        <v>35</v>
      </c>
      <c r="H347" t="s">
        <v>36</v>
      </c>
      <c r="I347" t="s">
        <v>89</v>
      </c>
      <c r="J347" t="s">
        <v>90</v>
      </c>
      <c r="K347">
        <v>1</v>
      </c>
      <c r="L347">
        <v>55000</v>
      </c>
      <c r="M347" s="7">
        <v>0</v>
      </c>
      <c r="N347">
        <v>13740.98</v>
      </c>
      <c r="O347" t="s">
        <v>39</v>
      </c>
      <c r="P347">
        <f t="shared" si="25"/>
        <v>2025</v>
      </c>
      <c r="Q347" t="str">
        <f t="shared" si="26"/>
        <v>Dec</v>
      </c>
      <c r="R347" s="3">
        <f t="shared" si="27"/>
        <v>0.249836</v>
      </c>
      <c r="S347" t="str">
        <f t="shared" si="28"/>
        <v>High</v>
      </c>
      <c r="T347">
        <f t="shared" si="29"/>
        <v>12</v>
      </c>
    </row>
    <row r="348" spans="1:20">
      <c r="A348" t="s">
        <v>567</v>
      </c>
      <c r="B348" s="2">
        <v>45747</v>
      </c>
      <c r="C348" t="s">
        <v>427</v>
      </c>
      <c r="D348" t="s">
        <v>428</v>
      </c>
      <c r="E348" t="s">
        <v>121</v>
      </c>
      <c r="F348" t="s">
        <v>44</v>
      </c>
      <c r="G348" t="s">
        <v>122</v>
      </c>
      <c r="H348" t="s">
        <v>27</v>
      </c>
      <c r="I348" t="s">
        <v>65</v>
      </c>
      <c r="J348" t="s">
        <v>66</v>
      </c>
      <c r="K348">
        <v>5</v>
      </c>
      <c r="L348">
        <v>30875</v>
      </c>
      <c r="M348" s="7">
        <v>0.05</v>
      </c>
      <c r="N348">
        <v>4040.56</v>
      </c>
      <c r="O348" t="s">
        <v>71</v>
      </c>
      <c r="P348">
        <f t="shared" si="25"/>
        <v>2025</v>
      </c>
      <c r="Q348" t="str">
        <f t="shared" si="26"/>
        <v>Mar</v>
      </c>
      <c r="R348" s="3">
        <f t="shared" si="27"/>
        <v>0.13086834008097165</v>
      </c>
      <c r="S348" t="str">
        <f t="shared" si="28"/>
        <v>High</v>
      </c>
      <c r="T348">
        <f t="shared" si="29"/>
        <v>3</v>
      </c>
    </row>
    <row r="349" spans="1:20">
      <c r="A349" t="s">
        <v>568</v>
      </c>
      <c r="B349" s="2">
        <v>45865</v>
      </c>
      <c r="C349" t="s">
        <v>392</v>
      </c>
      <c r="D349" t="s">
        <v>107</v>
      </c>
      <c r="E349" t="s">
        <v>114</v>
      </c>
      <c r="F349" t="s">
        <v>57</v>
      </c>
      <c r="G349" t="s">
        <v>58</v>
      </c>
      <c r="H349" t="s">
        <v>36</v>
      </c>
      <c r="I349" t="s">
        <v>37</v>
      </c>
      <c r="J349" t="s">
        <v>38</v>
      </c>
      <c r="K349">
        <v>2</v>
      </c>
      <c r="L349">
        <v>1330</v>
      </c>
      <c r="M349" s="7">
        <v>0.05</v>
      </c>
      <c r="N349">
        <v>256.27999999999997</v>
      </c>
      <c r="O349" t="s">
        <v>83</v>
      </c>
      <c r="P349">
        <f t="shared" si="25"/>
        <v>2025</v>
      </c>
      <c r="Q349" t="str">
        <f t="shared" si="26"/>
        <v>Jul</v>
      </c>
      <c r="R349" s="3">
        <f t="shared" si="27"/>
        <v>0.19269172932330825</v>
      </c>
      <c r="S349" t="str">
        <f t="shared" si="28"/>
        <v>Low</v>
      </c>
      <c r="T349">
        <f t="shared" si="29"/>
        <v>7</v>
      </c>
    </row>
    <row r="350" spans="1:20">
      <c r="A350" t="s">
        <v>569</v>
      </c>
      <c r="B350" s="2">
        <v>45759</v>
      </c>
      <c r="C350" t="s">
        <v>184</v>
      </c>
      <c r="D350" t="s">
        <v>86</v>
      </c>
      <c r="E350" t="s">
        <v>95</v>
      </c>
      <c r="F350" t="s">
        <v>25</v>
      </c>
      <c r="G350" t="s">
        <v>26</v>
      </c>
      <c r="H350" t="s">
        <v>59</v>
      </c>
      <c r="I350" t="s">
        <v>60</v>
      </c>
      <c r="J350" t="s">
        <v>61</v>
      </c>
      <c r="K350">
        <v>4</v>
      </c>
      <c r="L350">
        <v>1440</v>
      </c>
      <c r="M350" s="7">
        <v>0.2</v>
      </c>
      <c r="N350">
        <v>180.99</v>
      </c>
      <c r="O350" t="s">
        <v>39</v>
      </c>
      <c r="P350">
        <f t="shared" si="25"/>
        <v>2025</v>
      </c>
      <c r="Q350" t="str">
        <f t="shared" si="26"/>
        <v>Apr</v>
      </c>
      <c r="R350" s="3">
        <f t="shared" si="27"/>
        <v>0.12568750000000001</v>
      </c>
      <c r="S350" t="str">
        <f t="shared" si="28"/>
        <v>Low</v>
      </c>
      <c r="T350">
        <f t="shared" si="29"/>
        <v>4</v>
      </c>
    </row>
    <row r="351" spans="1:20">
      <c r="A351" t="s">
        <v>570</v>
      </c>
      <c r="B351" s="2">
        <v>46018</v>
      </c>
      <c r="C351" t="s">
        <v>106</v>
      </c>
      <c r="D351" t="s">
        <v>107</v>
      </c>
      <c r="E351" t="s">
        <v>103</v>
      </c>
      <c r="F351" t="s">
        <v>25</v>
      </c>
      <c r="G351" t="s">
        <v>104</v>
      </c>
      <c r="H351" t="s">
        <v>59</v>
      </c>
      <c r="I351" t="s">
        <v>81</v>
      </c>
      <c r="J351" t="s">
        <v>82</v>
      </c>
      <c r="K351">
        <v>1</v>
      </c>
      <c r="L351">
        <v>22400</v>
      </c>
      <c r="M351" s="7">
        <v>0.2</v>
      </c>
      <c r="N351">
        <v>375.23</v>
      </c>
      <c r="O351" t="s">
        <v>39</v>
      </c>
      <c r="P351">
        <f t="shared" si="25"/>
        <v>2025</v>
      </c>
      <c r="Q351" t="str">
        <f t="shared" si="26"/>
        <v>Dec</v>
      </c>
      <c r="R351" s="3">
        <f t="shared" si="27"/>
        <v>1.6751339285714286E-2</v>
      </c>
      <c r="S351" t="str">
        <f t="shared" si="28"/>
        <v>Low</v>
      </c>
      <c r="T351">
        <f t="shared" si="29"/>
        <v>12</v>
      </c>
    </row>
    <row r="352" spans="1:20">
      <c r="A352" t="s">
        <v>571</v>
      </c>
      <c r="B352" s="2">
        <v>45758</v>
      </c>
      <c r="C352" t="s">
        <v>317</v>
      </c>
      <c r="D352" t="s">
        <v>318</v>
      </c>
      <c r="E352" t="s">
        <v>160</v>
      </c>
      <c r="F352" t="s">
        <v>25</v>
      </c>
      <c r="G352" t="s">
        <v>161</v>
      </c>
      <c r="H352" t="s">
        <v>59</v>
      </c>
      <c r="I352" t="s">
        <v>81</v>
      </c>
      <c r="J352" t="s">
        <v>82</v>
      </c>
      <c r="K352">
        <v>4</v>
      </c>
      <c r="L352">
        <v>12800</v>
      </c>
      <c r="M352" s="7">
        <v>0</v>
      </c>
      <c r="N352">
        <v>1695.62</v>
      </c>
      <c r="O352" t="s">
        <v>30</v>
      </c>
      <c r="P352">
        <f t="shared" si="25"/>
        <v>2025</v>
      </c>
      <c r="Q352" t="str">
        <f t="shared" si="26"/>
        <v>Apr</v>
      </c>
      <c r="R352" s="3">
        <f t="shared" si="27"/>
        <v>0.13247031249999999</v>
      </c>
      <c r="S352" t="str">
        <f t="shared" si="28"/>
        <v>Low</v>
      </c>
      <c r="T352">
        <f t="shared" si="29"/>
        <v>4</v>
      </c>
    </row>
    <row r="353" spans="1:20">
      <c r="A353" t="s">
        <v>572</v>
      </c>
      <c r="B353" s="2">
        <v>45856</v>
      </c>
      <c r="C353" t="s">
        <v>240</v>
      </c>
      <c r="D353" t="s">
        <v>33</v>
      </c>
      <c r="E353" t="s">
        <v>75</v>
      </c>
      <c r="F353" t="s">
        <v>76</v>
      </c>
      <c r="G353" t="s">
        <v>77</v>
      </c>
      <c r="H353" t="s">
        <v>27</v>
      </c>
      <c r="I353" t="s">
        <v>65</v>
      </c>
      <c r="J353" t="s">
        <v>66</v>
      </c>
      <c r="K353">
        <v>5</v>
      </c>
      <c r="L353">
        <v>765</v>
      </c>
      <c r="M353" s="7">
        <v>0.15</v>
      </c>
      <c r="N353">
        <v>118.08</v>
      </c>
      <c r="O353" t="s">
        <v>71</v>
      </c>
      <c r="P353">
        <f t="shared" si="25"/>
        <v>2025</v>
      </c>
      <c r="Q353" t="str">
        <f t="shared" si="26"/>
        <v>Jul</v>
      </c>
      <c r="R353" s="3">
        <f t="shared" si="27"/>
        <v>0.15435294117647058</v>
      </c>
      <c r="S353" t="str">
        <f t="shared" si="28"/>
        <v>Low</v>
      </c>
      <c r="T353">
        <f t="shared" si="29"/>
        <v>7</v>
      </c>
    </row>
    <row r="354" spans="1:20">
      <c r="A354" t="s">
        <v>573</v>
      </c>
      <c r="B354" s="2">
        <v>46002</v>
      </c>
      <c r="C354" t="s">
        <v>131</v>
      </c>
      <c r="D354" t="s">
        <v>132</v>
      </c>
      <c r="E354" t="s">
        <v>24</v>
      </c>
      <c r="F354" t="s">
        <v>25</v>
      </c>
      <c r="G354" t="s">
        <v>26</v>
      </c>
      <c r="H354" t="s">
        <v>36</v>
      </c>
      <c r="I354" t="s">
        <v>89</v>
      </c>
      <c r="J354" t="s">
        <v>90</v>
      </c>
      <c r="K354">
        <v>3</v>
      </c>
      <c r="L354">
        <v>4320</v>
      </c>
      <c r="M354" s="7">
        <v>0.2</v>
      </c>
      <c r="N354">
        <v>537.53</v>
      </c>
      <c r="O354" t="s">
        <v>91</v>
      </c>
      <c r="P354">
        <f t="shared" si="25"/>
        <v>2025</v>
      </c>
      <c r="Q354" t="str">
        <f t="shared" si="26"/>
        <v>Dec</v>
      </c>
      <c r="R354" s="3">
        <f t="shared" si="27"/>
        <v>0.12442824074074073</v>
      </c>
      <c r="S354" t="str">
        <f t="shared" si="28"/>
        <v>Low</v>
      </c>
      <c r="T354">
        <f t="shared" si="29"/>
        <v>12</v>
      </c>
    </row>
    <row r="355" spans="1:20">
      <c r="A355" t="s">
        <v>574</v>
      </c>
      <c r="B355" s="2">
        <v>45814</v>
      </c>
      <c r="C355" t="s">
        <v>322</v>
      </c>
      <c r="D355" t="s">
        <v>323</v>
      </c>
      <c r="E355" t="s">
        <v>126</v>
      </c>
      <c r="F355" t="s">
        <v>25</v>
      </c>
      <c r="G355" t="s">
        <v>35</v>
      </c>
      <c r="H355" t="s">
        <v>27</v>
      </c>
      <c r="I355" t="s">
        <v>65</v>
      </c>
      <c r="J355" t="s">
        <v>66</v>
      </c>
      <c r="K355">
        <v>1</v>
      </c>
      <c r="L355">
        <v>13775</v>
      </c>
      <c r="M355" s="7">
        <v>0.05</v>
      </c>
      <c r="N355">
        <v>1968.37</v>
      </c>
      <c r="O355" t="s">
        <v>71</v>
      </c>
      <c r="P355">
        <f t="shared" si="25"/>
        <v>2025</v>
      </c>
      <c r="Q355" t="str">
        <f t="shared" si="26"/>
        <v>Jun</v>
      </c>
      <c r="R355" s="3">
        <f t="shared" si="27"/>
        <v>0.14289437386569873</v>
      </c>
      <c r="S355" t="str">
        <f t="shared" si="28"/>
        <v>Low</v>
      </c>
      <c r="T355">
        <f t="shared" si="29"/>
        <v>6</v>
      </c>
    </row>
    <row r="356" spans="1:20">
      <c r="A356" t="s">
        <v>575</v>
      </c>
      <c r="B356" s="2">
        <v>45728</v>
      </c>
      <c r="C356" t="s">
        <v>192</v>
      </c>
      <c r="D356" t="s">
        <v>193</v>
      </c>
      <c r="E356" t="s">
        <v>75</v>
      </c>
      <c r="F356" t="s">
        <v>76</v>
      </c>
      <c r="G356" t="s">
        <v>77</v>
      </c>
      <c r="H356" t="s">
        <v>59</v>
      </c>
      <c r="I356" t="s">
        <v>60</v>
      </c>
      <c r="J356" t="s">
        <v>61</v>
      </c>
      <c r="K356">
        <v>5</v>
      </c>
      <c r="L356">
        <v>765</v>
      </c>
      <c r="M356" s="7">
        <v>0.15</v>
      </c>
      <c r="N356">
        <v>89.01</v>
      </c>
      <c r="O356" t="s">
        <v>30</v>
      </c>
      <c r="P356">
        <f t="shared" si="25"/>
        <v>2025</v>
      </c>
      <c r="Q356" t="str">
        <f t="shared" si="26"/>
        <v>Mar</v>
      </c>
      <c r="R356" s="3">
        <f t="shared" si="27"/>
        <v>0.11635294117647059</v>
      </c>
      <c r="S356" t="str">
        <f t="shared" si="28"/>
        <v>Low</v>
      </c>
      <c r="T356">
        <f t="shared" si="29"/>
        <v>3</v>
      </c>
    </row>
    <row r="357" spans="1:20">
      <c r="A357" t="s">
        <v>576</v>
      </c>
      <c r="B357" s="2">
        <v>45743</v>
      </c>
      <c r="C357" t="s">
        <v>372</v>
      </c>
      <c r="D357" t="s">
        <v>373</v>
      </c>
      <c r="E357" t="s">
        <v>121</v>
      </c>
      <c r="F357" t="s">
        <v>44</v>
      </c>
      <c r="G357" t="s">
        <v>122</v>
      </c>
      <c r="H357" t="s">
        <v>27</v>
      </c>
      <c r="I357" t="s">
        <v>46</v>
      </c>
      <c r="J357" t="s">
        <v>46</v>
      </c>
      <c r="K357">
        <v>4</v>
      </c>
      <c r="L357">
        <v>23400</v>
      </c>
      <c r="M357" s="7">
        <v>0.1</v>
      </c>
      <c r="N357">
        <v>1876.56</v>
      </c>
      <c r="O357" t="s">
        <v>71</v>
      </c>
      <c r="P357">
        <f t="shared" si="25"/>
        <v>2025</v>
      </c>
      <c r="Q357" t="str">
        <f t="shared" si="26"/>
        <v>Mar</v>
      </c>
      <c r="R357" s="3">
        <f t="shared" si="27"/>
        <v>8.0194871794871794E-2</v>
      </c>
      <c r="S357" t="str">
        <f t="shared" si="28"/>
        <v>Low</v>
      </c>
      <c r="T357">
        <f t="shared" si="29"/>
        <v>3</v>
      </c>
    </row>
    <row r="358" spans="1:20">
      <c r="A358" t="s">
        <v>577</v>
      </c>
      <c r="B358" s="2">
        <v>45841</v>
      </c>
      <c r="C358" t="s">
        <v>131</v>
      </c>
      <c r="D358" t="s">
        <v>132</v>
      </c>
      <c r="E358" t="s">
        <v>34</v>
      </c>
      <c r="F358" t="s">
        <v>25</v>
      </c>
      <c r="G358" t="s">
        <v>35</v>
      </c>
      <c r="H358" t="s">
        <v>36</v>
      </c>
      <c r="I358" t="s">
        <v>89</v>
      </c>
      <c r="J358" t="s">
        <v>90</v>
      </c>
      <c r="K358">
        <v>1</v>
      </c>
      <c r="L358">
        <v>46750</v>
      </c>
      <c r="M358" s="7">
        <v>0.15</v>
      </c>
      <c r="N358">
        <v>2184.92</v>
      </c>
      <c r="O358" t="s">
        <v>30</v>
      </c>
      <c r="P358">
        <f t="shared" si="25"/>
        <v>2025</v>
      </c>
      <c r="Q358" t="str">
        <f t="shared" si="26"/>
        <v>Jul</v>
      </c>
      <c r="R358" s="3">
        <f t="shared" si="27"/>
        <v>4.6736256684491981E-2</v>
      </c>
      <c r="S358" t="str">
        <f t="shared" si="28"/>
        <v>High</v>
      </c>
      <c r="T358">
        <f t="shared" si="29"/>
        <v>7</v>
      </c>
    </row>
    <row r="359" spans="1:20">
      <c r="A359" t="s">
        <v>578</v>
      </c>
      <c r="B359" s="2">
        <v>45911</v>
      </c>
      <c r="C359" t="s">
        <v>285</v>
      </c>
      <c r="D359" t="s">
        <v>286</v>
      </c>
      <c r="E359" t="s">
        <v>147</v>
      </c>
      <c r="F359" t="s">
        <v>76</v>
      </c>
      <c r="G359" t="s">
        <v>77</v>
      </c>
      <c r="H359" t="s">
        <v>27</v>
      </c>
      <c r="I359" t="s">
        <v>28</v>
      </c>
      <c r="J359" t="s">
        <v>29</v>
      </c>
      <c r="K359">
        <v>4</v>
      </c>
      <c r="L359">
        <v>750</v>
      </c>
      <c r="M359" s="7">
        <v>0.25</v>
      </c>
      <c r="N359">
        <v>62.97</v>
      </c>
      <c r="O359" t="s">
        <v>71</v>
      </c>
      <c r="P359">
        <f t="shared" si="25"/>
        <v>2025</v>
      </c>
      <c r="Q359" t="str">
        <f t="shared" si="26"/>
        <v>Sep</v>
      </c>
      <c r="R359" s="3">
        <f t="shared" si="27"/>
        <v>8.3959999999999993E-2</v>
      </c>
      <c r="S359" t="str">
        <f t="shared" si="28"/>
        <v>Low</v>
      </c>
      <c r="T359">
        <f t="shared" si="29"/>
        <v>9</v>
      </c>
    </row>
    <row r="360" spans="1:20">
      <c r="A360" t="s">
        <v>579</v>
      </c>
      <c r="B360" s="2">
        <v>45700</v>
      </c>
      <c r="C360" t="s">
        <v>51</v>
      </c>
      <c r="D360" t="s">
        <v>52</v>
      </c>
      <c r="E360" t="s">
        <v>24</v>
      </c>
      <c r="F360" t="s">
        <v>25</v>
      </c>
      <c r="G360" t="s">
        <v>26</v>
      </c>
      <c r="H360" t="s">
        <v>36</v>
      </c>
      <c r="I360" t="s">
        <v>37</v>
      </c>
      <c r="J360" t="s">
        <v>38</v>
      </c>
      <c r="K360">
        <v>5</v>
      </c>
      <c r="L360">
        <v>9000</v>
      </c>
      <c r="M360" s="7">
        <v>0</v>
      </c>
      <c r="N360">
        <v>2152.59</v>
      </c>
      <c r="O360" t="s">
        <v>83</v>
      </c>
      <c r="P360">
        <f t="shared" si="25"/>
        <v>2025</v>
      </c>
      <c r="Q360" t="str">
        <f t="shared" si="26"/>
        <v>Feb</v>
      </c>
      <c r="R360" s="3">
        <f t="shared" si="27"/>
        <v>0.23917666666666668</v>
      </c>
      <c r="S360" t="str">
        <f t="shared" si="28"/>
        <v>Low</v>
      </c>
      <c r="T360">
        <f t="shared" si="29"/>
        <v>2</v>
      </c>
    </row>
    <row r="361" spans="1:20">
      <c r="A361" t="s">
        <v>580</v>
      </c>
      <c r="B361" s="2">
        <v>45933</v>
      </c>
      <c r="C361" t="s">
        <v>227</v>
      </c>
      <c r="D361" t="s">
        <v>228</v>
      </c>
      <c r="E361" t="s">
        <v>126</v>
      </c>
      <c r="F361" t="s">
        <v>25</v>
      </c>
      <c r="G361" t="s">
        <v>35</v>
      </c>
      <c r="H361" t="s">
        <v>27</v>
      </c>
      <c r="I361" t="s">
        <v>65</v>
      </c>
      <c r="J361" t="s">
        <v>66</v>
      </c>
      <c r="K361">
        <v>3</v>
      </c>
      <c r="L361">
        <v>41325</v>
      </c>
      <c r="M361" s="7">
        <v>0.05</v>
      </c>
      <c r="N361">
        <v>9053.3700000000008</v>
      </c>
      <c r="O361" t="s">
        <v>71</v>
      </c>
      <c r="P361">
        <f t="shared" si="25"/>
        <v>2025</v>
      </c>
      <c r="Q361" t="str">
        <f t="shared" si="26"/>
        <v>Oct</v>
      </c>
      <c r="R361" s="3">
        <f t="shared" si="27"/>
        <v>0.21907731397459168</v>
      </c>
      <c r="S361" t="str">
        <f t="shared" si="28"/>
        <v>High</v>
      </c>
      <c r="T361">
        <f t="shared" si="29"/>
        <v>10</v>
      </c>
    </row>
    <row r="362" spans="1:20">
      <c r="A362" t="s">
        <v>581</v>
      </c>
      <c r="B362" s="2">
        <v>45715</v>
      </c>
      <c r="C362" t="s">
        <v>273</v>
      </c>
      <c r="D362" t="s">
        <v>212</v>
      </c>
      <c r="E362" t="s">
        <v>121</v>
      </c>
      <c r="F362" t="s">
        <v>44</v>
      </c>
      <c r="G362" t="s">
        <v>122</v>
      </c>
      <c r="H362" t="s">
        <v>59</v>
      </c>
      <c r="I362" t="s">
        <v>81</v>
      </c>
      <c r="J362" t="s">
        <v>82</v>
      </c>
      <c r="K362">
        <v>5</v>
      </c>
      <c r="L362">
        <v>32500</v>
      </c>
      <c r="M362" s="7">
        <v>0</v>
      </c>
      <c r="N362">
        <v>4341.28</v>
      </c>
      <c r="O362" t="s">
        <v>91</v>
      </c>
      <c r="P362">
        <f t="shared" si="25"/>
        <v>2025</v>
      </c>
      <c r="Q362" t="str">
        <f t="shared" si="26"/>
        <v>Feb</v>
      </c>
      <c r="R362" s="3">
        <f t="shared" si="27"/>
        <v>0.13357784615384616</v>
      </c>
      <c r="S362" t="str">
        <f t="shared" si="28"/>
        <v>High</v>
      </c>
      <c r="T362">
        <f t="shared" si="29"/>
        <v>2</v>
      </c>
    </row>
    <row r="363" spans="1:20">
      <c r="A363" t="s">
        <v>582</v>
      </c>
      <c r="B363" s="2">
        <v>45679</v>
      </c>
      <c r="C363" t="s">
        <v>198</v>
      </c>
      <c r="D363" t="s">
        <v>199</v>
      </c>
      <c r="E363" t="s">
        <v>142</v>
      </c>
      <c r="F363" t="s">
        <v>25</v>
      </c>
      <c r="G363" t="s">
        <v>143</v>
      </c>
      <c r="H363" t="s">
        <v>59</v>
      </c>
      <c r="I363" t="s">
        <v>96</v>
      </c>
      <c r="J363" t="s">
        <v>61</v>
      </c>
      <c r="K363">
        <v>4</v>
      </c>
      <c r="L363">
        <v>36800</v>
      </c>
      <c r="M363" s="7">
        <v>0.2</v>
      </c>
      <c r="N363">
        <v>2298.1799999999998</v>
      </c>
      <c r="O363" t="s">
        <v>39</v>
      </c>
      <c r="P363">
        <f t="shared" si="25"/>
        <v>2025</v>
      </c>
      <c r="Q363" t="str">
        <f t="shared" si="26"/>
        <v>Jan</v>
      </c>
      <c r="R363" s="3">
        <f t="shared" si="27"/>
        <v>6.2450543478260866E-2</v>
      </c>
      <c r="S363" t="str">
        <f t="shared" si="28"/>
        <v>High</v>
      </c>
      <c r="T363">
        <f t="shared" si="29"/>
        <v>1</v>
      </c>
    </row>
    <row r="364" spans="1:20">
      <c r="A364" t="s">
        <v>583</v>
      </c>
      <c r="B364" s="2">
        <v>45674</v>
      </c>
      <c r="C364" t="s">
        <v>98</v>
      </c>
      <c r="D364" t="s">
        <v>99</v>
      </c>
      <c r="E364" t="s">
        <v>142</v>
      </c>
      <c r="F364" t="s">
        <v>25</v>
      </c>
      <c r="G364" t="s">
        <v>143</v>
      </c>
      <c r="H364" t="s">
        <v>36</v>
      </c>
      <c r="I364" t="s">
        <v>89</v>
      </c>
      <c r="J364" t="s">
        <v>90</v>
      </c>
      <c r="K364">
        <v>4</v>
      </c>
      <c r="L364">
        <v>41400</v>
      </c>
      <c r="M364" s="7">
        <v>0.1</v>
      </c>
      <c r="N364">
        <v>4524.8999999999996</v>
      </c>
      <c r="O364" t="s">
        <v>71</v>
      </c>
      <c r="P364">
        <f t="shared" si="25"/>
        <v>2025</v>
      </c>
      <c r="Q364" t="str">
        <f t="shared" si="26"/>
        <v>Jan</v>
      </c>
      <c r="R364" s="3">
        <f t="shared" si="27"/>
        <v>0.10929710144927535</v>
      </c>
      <c r="S364" t="str">
        <f t="shared" si="28"/>
        <v>High</v>
      </c>
      <c r="T364">
        <f t="shared" si="29"/>
        <v>1</v>
      </c>
    </row>
    <row r="365" spans="1:20">
      <c r="A365" t="s">
        <v>584</v>
      </c>
      <c r="B365" s="2">
        <v>45779</v>
      </c>
      <c r="C365" t="s">
        <v>322</v>
      </c>
      <c r="D365" t="s">
        <v>323</v>
      </c>
      <c r="E365" t="s">
        <v>114</v>
      </c>
      <c r="F365" t="s">
        <v>57</v>
      </c>
      <c r="G365" t="s">
        <v>58</v>
      </c>
      <c r="H365" t="s">
        <v>27</v>
      </c>
      <c r="I365" t="s">
        <v>65</v>
      </c>
      <c r="J365" t="s">
        <v>66</v>
      </c>
      <c r="K365">
        <v>2</v>
      </c>
      <c r="L365">
        <v>980</v>
      </c>
      <c r="M365" s="7">
        <v>0.3</v>
      </c>
      <c r="N365">
        <v>113.52</v>
      </c>
      <c r="O365" t="s">
        <v>30</v>
      </c>
      <c r="P365">
        <f t="shared" si="25"/>
        <v>2025</v>
      </c>
      <c r="Q365" t="str">
        <f t="shared" si="26"/>
        <v>May</v>
      </c>
      <c r="R365" s="3">
        <f t="shared" si="27"/>
        <v>0.11583673469387755</v>
      </c>
      <c r="S365" t="str">
        <f t="shared" si="28"/>
        <v>Low</v>
      </c>
      <c r="T365">
        <f t="shared" si="29"/>
        <v>5</v>
      </c>
    </row>
    <row r="366" spans="1:20">
      <c r="A366" t="s">
        <v>585</v>
      </c>
      <c r="B366" s="2">
        <v>45973</v>
      </c>
      <c r="C366" t="s">
        <v>22</v>
      </c>
      <c r="D366" t="s">
        <v>23</v>
      </c>
      <c r="E366" t="s">
        <v>24</v>
      </c>
      <c r="F366" t="s">
        <v>25</v>
      </c>
      <c r="G366" t="s">
        <v>26</v>
      </c>
      <c r="H366" t="s">
        <v>27</v>
      </c>
      <c r="I366" t="s">
        <v>28</v>
      </c>
      <c r="J366" t="s">
        <v>29</v>
      </c>
      <c r="K366">
        <v>2</v>
      </c>
      <c r="L366">
        <v>2520</v>
      </c>
      <c r="M366" s="7">
        <v>0.3</v>
      </c>
      <c r="N366">
        <v>115.42</v>
      </c>
      <c r="O366" t="s">
        <v>83</v>
      </c>
      <c r="P366">
        <f t="shared" si="25"/>
        <v>2025</v>
      </c>
      <c r="Q366" t="str">
        <f t="shared" si="26"/>
        <v>Nov</v>
      </c>
      <c r="R366" s="3">
        <f t="shared" si="27"/>
        <v>4.5801587301587302E-2</v>
      </c>
      <c r="S366" t="str">
        <f t="shared" si="28"/>
        <v>Low</v>
      </c>
      <c r="T366">
        <f t="shared" si="29"/>
        <v>11</v>
      </c>
    </row>
    <row r="367" spans="1:20">
      <c r="A367" t="s">
        <v>586</v>
      </c>
      <c r="B367" s="2">
        <v>45930</v>
      </c>
      <c r="C367" t="s">
        <v>211</v>
      </c>
      <c r="D367" t="s">
        <v>212</v>
      </c>
      <c r="E367" t="s">
        <v>160</v>
      </c>
      <c r="F367" t="s">
        <v>25</v>
      </c>
      <c r="G367" t="s">
        <v>161</v>
      </c>
      <c r="H367" t="s">
        <v>127</v>
      </c>
      <c r="I367" t="s">
        <v>128</v>
      </c>
      <c r="J367" t="s">
        <v>129</v>
      </c>
      <c r="K367">
        <v>3</v>
      </c>
      <c r="L367">
        <v>7680</v>
      </c>
      <c r="M367" s="7">
        <v>0.2</v>
      </c>
      <c r="N367">
        <v>1010.47</v>
      </c>
      <c r="O367" t="s">
        <v>91</v>
      </c>
      <c r="P367">
        <f t="shared" si="25"/>
        <v>2025</v>
      </c>
      <c r="Q367" t="str">
        <f t="shared" si="26"/>
        <v>Sep</v>
      </c>
      <c r="R367" s="3">
        <f t="shared" si="27"/>
        <v>0.13157161458333333</v>
      </c>
      <c r="S367" t="str">
        <f t="shared" si="28"/>
        <v>Low</v>
      </c>
      <c r="T367">
        <f t="shared" si="29"/>
        <v>9</v>
      </c>
    </row>
    <row r="368" spans="1:20">
      <c r="A368" t="s">
        <v>587</v>
      </c>
      <c r="B368" s="2">
        <v>45794</v>
      </c>
      <c r="C368" t="s">
        <v>245</v>
      </c>
      <c r="D368" t="s">
        <v>52</v>
      </c>
      <c r="E368" t="s">
        <v>75</v>
      </c>
      <c r="F368" t="s">
        <v>76</v>
      </c>
      <c r="G368" t="s">
        <v>77</v>
      </c>
      <c r="H368" t="s">
        <v>36</v>
      </c>
      <c r="I368" t="s">
        <v>37</v>
      </c>
      <c r="J368" t="s">
        <v>38</v>
      </c>
      <c r="K368">
        <v>5</v>
      </c>
      <c r="L368">
        <v>675</v>
      </c>
      <c r="M368" s="7">
        <v>0.25</v>
      </c>
      <c r="N368">
        <v>124.58</v>
      </c>
      <c r="O368" t="s">
        <v>71</v>
      </c>
      <c r="P368">
        <f t="shared" si="25"/>
        <v>2025</v>
      </c>
      <c r="Q368" t="str">
        <f t="shared" si="26"/>
        <v>May</v>
      </c>
      <c r="R368" s="3">
        <f t="shared" si="27"/>
        <v>0.18456296296296296</v>
      </c>
      <c r="S368" t="str">
        <f t="shared" si="28"/>
        <v>Low</v>
      </c>
      <c r="T368">
        <f t="shared" si="29"/>
        <v>5</v>
      </c>
    </row>
    <row r="369" spans="1:20">
      <c r="A369" t="s">
        <v>588</v>
      </c>
      <c r="B369" s="2">
        <v>45993</v>
      </c>
      <c r="C369" t="s">
        <v>54</v>
      </c>
      <c r="D369" t="s">
        <v>55</v>
      </c>
      <c r="E369" t="s">
        <v>103</v>
      </c>
      <c r="F369" t="s">
        <v>25</v>
      </c>
      <c r="G369" t="s">
        <v>104</v>
      </c>
      <c r="H369" t="s">
        <v>59</v>
      </c>
      <c r="I369" t="s">
        <v>60</v>
      </c>
      <c r="J369" t="s">
        <v>61</v>
      </c>
      <c r="K369">
        <v>2</v>
      </c>
      <c r="L369">
        <v>42000</v>
      </c>
      <c r="M369" s="7">
        <v>0.25</v>
      </c>
      <c r="N369">
        <v>7879.66</v>
      </c>
      <c r="O369" t="s">
        <v>91</v>
      </c>
      <c r="P369">
        <f t="shared" si="25"/>
        <v>2025</v>
      </c>
      <c r="Q369" t="str">
        <f t="shared" si="26"/>
        <v>Dec</v>
      </c>
      <c r="R369" s="3">
        <f t="shared" si="27"/>
        <v>0.18761095238095238</v>
      </c>
      <c r="S369" t="str">
        <f t="shared" si="28"/>
        <v>High</v>
      </c>
      <c r="T369">
        <f t="shared" si="29"/>
        <v>12</v>
      </c>
    </row>
    <row r="370" spans="1:20">
      <c r="A370" t="s">
        <v>589</v>
      </c>
      <c r="B370" s="2">
        <v>46004</v>
      </c>
      <c r="C370" t="s">
        <v>427</v>
      </c>
      <c r="D370" t="s">
        <v>428</v>
      </c>
      <c r="E370" t="s">
        <v>114</v>
      </c>
      <c r="F370" t="s">
        <v>57</v>
      </c>
      <c r="G370" t="s">
        <v>58</v>
      </c>
      <c r="H370" t="s">
        <v>27</v>
      </c>
      <c r="I370" t="s">
        <v>65</v>
      </c>
      <c r="J370" t="s">
        <v>66</v>
      </c>
      <c r="K370">
        <v>4</v>
      </c>
      <c r="L370">
        <v>2380</v>
      </c>
      <c r="M370" s="7">
        <v>0.15</v>
      </c>
      <c r="N370">
        <v>130.22999999999999</v>
      </c>
      <c r="O370" t="s">
        <v>71</v>
      </c>
      <c r="P370">
        <f t="shared" si="25"/>
        <v>2025</v>
      </c>
      <c r="Q370" t="str">
        <f t="shared" si="26"/>
        <v>Dec</v>
      </c>
      <c r="R370" s="3">
        <f t="shared" si="27"/>
        <v>5.4718487394957979E-2</v>
      </c>
      <c r="S370" t="str">
        <f t="shared" si="28"/>
        <v>Low</v>
      </c>
      <c r="T370">
        <f t="shared" si="29"/>
        <v>12</v>
      </c>
    </row>
    <row r="371" spans="1:20">
      <c r="A371" t="s">
        <v>590</v>
      </c>
      <c r="B371" s="2">
        <v>45696</v>
      </c>
      <c r="C371" t="s">
        <v>48</v>
      </c>
      <c r="D371" t="s">
        <v>49</v>
      </c>
      <c r="E371" t="s">
        <v>87</v>
      </c>
      <c r="F371" t="s">
        <v>44</v>
      </c>
      <c r="G371" t="s">
        <v>88</v>
      </c>
      <c r="H371" t="s">
        <v>27</v>
      </c>
      <c r="I371" t="s">
        <v>28</v>
      </c>
      <c r="J371" t="s">
        <v>29</v>
      </c>
      <c r="K371">
        <v>1</v>
      </c>
      <c r="L371">
        <v>10200</v>
      </c>
      <c r="M371" s="7">
        <v>0.15</v>
      </c>
      <c r="N371">
        <v>1455.43</v>
      </c>
      <c r="O371" t="s">
        <v>91</v>
      </c>
      <c r="P371">
        <f t="shared" si="25"/>
        <v>2025</v>
      </c>
      <c r="Q371" t="str">
        <f t="shared" si="26"/>
        <v>Feb</v>
      </c>
      <c r="R371" s="3">
        <f t="shared" si="27"/>
        <v>0.14268921568627452</v>
      </c>
      <c r="S371" t="str">
        <f t="shared" si="28"/>
        <v>Low</v>
      </c>
      <c r="T371">
        <f t="shared" si="29"/>
        <v>2</v>
      </c>
    </row>
    <row r="372" spans="1:20">
      <c r="A372" t="s">
        <v>591</v>
      </c>
      <c r="B372" s="2">
        <v>45825</v>
      </c>
      <c r="C372" t="s">
        <v>181</v>
      </c>
      <c r="D372" t="s">
        <v>182</v>
      </c>
      <c r="E372" t="s">
        <v>87</v>
      </c>
      <c r="F372" t="s">
        <v>44</v>
      </c>
      <c r="G372" t="s">
        <v>88</v>
      </c>
      <c r="H372" t="s">
        <v>59</v>
      </c>
      <c r="I372" t="s">
        <v>81</v>
      </c>
      <c r="J372" t="s">
        <v>82</v>
      </c>
      <c r="K372">
        <v>5</v>
      </c>
      <c r="L372">
        <v>60000</v>
      </c>
      <c r="M372" s="7">
        <v>0</v>
      </c>
      <c r="N372">
        <v>15226.89</v>
      </c>
      <c r="O372" t="s">
        <v>83</v>
      </c>
      <c r="P372">
        <f t="shared" si="25"/>
        <v>2025</v>
      </c>
      <c r="Q372" t="str">
        <f t="shared" si="26"/>
        <v>Jun</v>
      </c>
      <c r="R372" s="3">
        <f t="shared" si="27"/>
        <v>0.25378149999999999</v>
      </c>
      <c r="S372" t="str">
        <f t="shared" si="28"/>
        <v>High</v>
      </c>
      <c r="T372">
        <f t="shared" si="29"/>
        <v>6</v>
      </c>
    </row>
    <row r="373" spans="1:20">
      <c r="A373" t="s">
        <v>592</v>
      </c>
      <c r="B373" s="2">
        <v>45998</v>
      </c>
      <c r="C373" t="s">
        <v>181</v>
      </c>
      <c r="D373" t="s">
        <v>182</v>
      </c>
      <c r="E373" t="s">
        <v>147</v>
      </c>
      <c r="F373" t="s">
        <v>76</v>
      </c>
      <c r="G373" t="s">
        <v>77</v>
      </c>
      <c r="H373" t="s">
        <v>59</v>
      </c>
      <c r="I373" t="s">
        <v>81</v>
      </c>
      <c r="J373" t="s">
        <v>82</v>
      </c>
      <c r="K373">
        <v>3</v>
      </c>
      <c r="L373">
        <v>525</v>
      </c>
      <c r="M373" s="7">
        <v>0.3</v>
      </c>
      <c r="N373">
        <v>-3.89</v>
      </c>
      <c r="O373" t="s">
        <v>39</v>
      </c>
      <c r="P373">
        <f t="shared" si="25"/>
        <v>2025</v>
      </c>
      <c r="Q373" t="str">
        <f t="shared" si="26"/>
        <v>Dec</v>
      </c>
      <c r="R373" s="3">
        <f t="shared" si="27"/>
        <v>-7.4095238095238094E-3</v>
      </c>
      <c r="S373" t="str">
        <f t="shared" si="28"/>
        <v>Low</v>
      </c>
      <c r="T373">
        <f t="shared" si="29"/>
        <v>12</v>
      </c>
    </row>
    <row r="374" spans="1:20">
      <c r="A374" t="s">
        <v>593</v>
      </c>
      <c r="B374" s="2">
        <v>45766</v>
      </c>
      <c r="C374" t="s">
        <v>22</v>
      </c>
      <c r="D374" t="s">
        <v>23</v>
      </c>
      <c r="E374" t="s">
        <v>142</v>
      </c>
      <c r="F374" t="s">
        <v>25</v>
      </c>
      <c r="G374" t="s">
        <v>143</v>
      </c>
      <c r="H374" t="s">
        <v>27</v>
      </c>
      <c r="I374" t="s">
        <v>28</v>
      </c>
      <c r="J374" t="s">
        <v>29</v>
      </c>
      <c r="K374">
        <v>4</v>
      </c>
      <c r="L374">
        <v>41400</v>
      </c>
      <c r="M374" s="7">
        <v>0.1</v>
      </c>
      <c r="N374">
        <v>4863.8</v>
      </c>
      <c r="O374" t="s">
        <v>30</v>
      </c>
      <c r="P374">
        <f t="shared" si="25"/>
        <v>2025</v>
      </c>
      <c r="Q374" t="str">
        <f t="shared" si="26"/>
        <v>Apr</v>
      </c>
      <c r="R374" s="3">
        <f t="shared" si="27"/>
        <v>0.11748309178743961</v>
      </c>
      <c r="S374" t="str">
        <f t="shared" si="28"/>
        <v>High</v>
      </c>
      <c r="T374">
        <f t="shared" si="29"/>
        <v>4</v>
      </c>
    </row>
    <row r="375" spans="1:20">
      <c r="A375" t="s">
        <v>594</v>
      </c>
      <c r="B375" s="2">
        <v>45947</v>
      </c>
      <c r="C375" t="s">
        <v>157</v>
      </c>
      <c r="D375" t="s">
        <v>158</v>
      </c>
      <c r="E375" t="s">
        <v>24</v>
      </c>
      <c r="F375" t="s">
        <v>25</v>
      </c>
      <c r="G375" t="s">
        <v>26</v>
      </c>
      <c r="H375" t="s">
        <v>36</v>
      </c>
      <c r="I375" t="s">
        <v>37</v>
      </c>
      <c r="J375" t="s">
        <v>38</v>
      </c>
      <c r="K375">
        <v>4</v>
      </c>
      <c r="L375">
        <v>5040</v>
      </c>
      <c r="M375" s="7">
        <v>0.3</v>
      </c>
      <c r="N375">
        <v>189.28</v>
      </c>
      <c r="O375" t="s">
        <v>83</v>
      </c>
      <c r="P375">
        <f t="shared" si="25"/>
        <v>2025</v>
      </c>
      <c r="Q375" t="str">
        <f t="shared" si="26"/>
        <v>Oct</v>
      </c>
      <c r="R375" s="3">
        <f t="shared" si="27"/>
        <v>3.7555555555555557E-2</v>
      </c>
      <c r="S375" t="str">
        <f t="shared" si="28"/>
        <v>Low</v>
      </c>
      <c r="T375">
        <f t="shared" si="29"/>
        <v>10</v>
      </c>
    </row>
    <row r="376" spans="1:20">
      <c r="A376" t="s">
        <v>595</v>
      </c>
      <c r="B376" s="2">
        <v>45978</v>
      </c>
      <c r="C376" t="s">
        <v>292</v>
      </c>
      <c r="D376" t="s">
        <v>293</v>
      </c>
      <c r="E376" t="s">
        <v>70</v>
      </c>
      <c r="F376" t="s">
        <v>25</v>
      </c>
      <c r="G376" t="s">
        <v>26</v>
      </c>
      <c r="H376" t="s">
        <v>27</v>
      </c>
      <c r="I376" t="s">
        <v>28</v>
      </c>
      <c r="J376" t="s">
        <v>29</v>
      </c>
      <c r="K376">
        <v>4</v>
      </c>
      <c r="L376">
        <v>4800</v>
      </c>
      <c r="M376" s="7">
        <v>0</v>
      </c>
      <c r="N376">
        <v>503.27</v>
      </c>
      <c r="O376" t="s">
        <v>71</v>
      </c>
      <c r="P376">
        <f t="shared" si="25"/>
        <v>2025</v>
      </c>
      <c r="Q376" t="str">
        <f t="shared" si="26"/>
        <v>Nov</v>
      </c>
      <c r="R376" s="3">
        <f t="shared" si="27"/>
        <v>0.10484791666666667</v>
      </c>
      <c r="S376" t="str">
        <f t="shared" si="28"/>
        <v>Low</v>
      </c>
      <c r="T376">
        <f t="shared" si="29"/>
        <v>11</v>
      </c>
    </row>
    <row r="377" spans="1:20">
      <c r="A377" t="s">
        <v>596</v>
      </c>
      <c r="B377" s="2">
        <v>45877</v>
      </c>
      <c r="C377" t="s">
        <v>181</v>
      </c>
      <c r="D377" t="s">
        <v>182</v>
      </c>
      <c r="E377" t="s">
        <v>34</v>
      </c>
      <c r="F377" t="s">
        <v>25</v>
      </c>
      <c r="G377" t="s">
        <v>35</v>
      </c>
      <c r="H377" t="s">
        <v>59</v>
      </c>
      <c r="I377" t="s">
        <v>81</v>
      </c>
      <c r="J377" t="s">
        <v>82</v>
      </c>
      <c r="K377">
        <v>2</v>
      </c>
      <c r="L377">
        <v>82500</v>
      </c>
      <c r="M377" s="7">
        <v>0.25</v>
      </c>
      <c r="N377">
        <v>12931.64</v>
      </c>
      <c r="O377" t="s">
        <v>91</v>
      </c>
      <c r="P377">
        <f t="shared" si="25"/>
        <v>2025</v>
      </c>
      <c r="Q377" t="str">
        <f t="shared" si="26"/>
        <v>Aug</v>
      </c>
      <c r="R377" s="3">
        <f t="shared" si="27"/>
        <v>0.15674715151515151</v>
      </c>
      <c r="S377" t="str">
        <f t="shared" si="28"/>
        <v>High</v>
      </c>
      <c r="T377">
        <f t="shared" si="29"/>
        <v>8</v>
      </c>
    </row>
    <row r="378" spans="1:20">
      <c r="A378" t="s">
        <v>597</v>
      </c>
      <c r="B378" s="2">
        <v>45798</v>
      </c>
      <c r="C378" t="s">
        <v>63</v>
      </c>
      <c r="D378" t="s">
        <v>64</v>
      </c>
      <c r="E378" t="s">
        <v>142</v>
      </c>
      <c r="F378" t="s">
        <v>25</v>
      </c>
      <c r="G378" t="s">
        <v>143</v>
      </c>
      <c r="H378" t="s">
        <v>27</v>
      </c>
      <c r="I378" t="s">
        <v>65</v>
      </c>
      <c r="J378" t="s">
        <v>66</v>
      </c>
      <c r="K378">
        <v>1</v>
      </c>
      <c r="L378">
        <v>8625</v>
      </c>
      <c r="M378" s="7">
        <v>0.25</v>
      </c>
      <c r="N378">
        <v>836.07</v>
      </c>
      <c r="O378" t="s">
        <v>39</v>
      </c>
      <c r="P378">
        <f t="shared" si="25"/>
        <v>2025</v>
      </c>
      <c r="Q378" t="str">
        <f t="shared" si="26"/>
        <v>May</v>
      </c>
      <c r="R378" s="3">
        <f t="shared" si="27"/>
        <v>9.6935652173913048E-2</v>
      </c>
      <c r="S378" t="str">
        <f t="shared" si="28"/>
        <v>Low</v>
      </c>
      <c r="T378">
        <f t="shared" si="29"/>
        <v>5</v>
      </c>
    </row>
    <row r="379" spans="1:20">
      <c r="A379" t="s">
        <v>598</v>
      </c>
      <c r="B379" s="2">
        <v>45978</v>
      </c>
      <c r="C379" t="s">
        <v>333</v>
      </c>
      <c r="D379" t="s">
        <v>334</v>
      </c>
      <c r="E379" t="s">
        <v>43</v>
      </c>
      <c r="F379" t="s">
        <v>44</v>
      </c>
      <c r="G379" t="s">
        <v>45</v>
      </c>
      <c r="H379" t="s">
        <v>59</v>
      </c>
      <c r="I379" t="s">
        <v>60</v>
      </c>
      <c r="J379" t="s">
        <v>61</v>
      </c>
      <c r="K379">
        <v>3</v>
      </c>
      <c r="L379">
        <v>19125</v>
      </c>
      <c r="M379" s="7">
        <v>0.25</v>
      </c>
      <c r="N379">
        <v>2969.24</v>
      </c>
      <c r="O379" t="s">
        <v>83</v>
      </c>
      <c r="P379">
        <f t="shared" si="25"/>
        <v>2025</v>
      </c>
      <c r="Q379" t="str">
        <f t="shared" si="26"/>
        <v>Nov</v>
      </c>
      <c r="R379" s="3">
        <f t="shared" si="27"/>
        <v>0.15525437908496731</v>
      </c>
      <c r="S379" t="str">
        <f t="shared" si="28"/>
        <v>Low</v>
      </c>
      <c r="T379">
        <f t="shared" si="29"/>
        <v>11</v>
      </c>
    </row>
    <row r="380" spans="1:20">
      <c r="A380" t="s">
        <v>599</v>
      </c>
      <c r="B380" s="2">
        <v>45767</v>
      </c>
      <c r="C380" t="s">
        <v>32</v>
      </c>
      <c r="D380" t="s">
        <v>33</v>
      </c>
      <c r="E380" t="s">
        <v>34</v>
      </c>
      <c r="F380" t="s">
        <v>25</v>
      </c>
      <c r="G380" t="s">
        <v>35</v>
      </c>
      <c r="H380" t="s">
        <v>36</v>
      </c>
      <c r="I380" t="s">
        <v>37</v>
      </c>
      <c r="J380" t="s">
        <v>38</v>
      </c>
      <c r="K380">
        <v>4</v>
      </c>
      <c r="L380">
        <v>220000</v>
      </c>
      <c r="M380" s="7">
        <v>0</v>
      </c>
      <c r="N380">
        <v>23438.79</v>
      </c>
      <c r="O380" t="s">
        <v>71</v>
      </c>
      <c r="P380">
        <f t="shared" si="25"/>
        <v>2025</v>
      </c>
      <c r="Q380" t="str">
        <f t="shared" si="26"/>
        <v>Apr</v>
      </c>
      <c r="R380" s="3">
        <f t="shared" si="27"/>
        <v>0.10653995454545455</v>
      </c>
      <c r="S380" t="str">
        <f t="shared" si="28"/>
        <v>High</v>
      </c>
      <c r="T380">
        <f t="shared" si="29"/>
        <v>4</v>
      </c>
    </row>
    <row r="381" spans="1:20">
      <c r="A381" t="s">
        <v>600</v>
      </c>
      <c r="B381" s="2">
        <v>46014</v>
      </c>
      <c r="C381" t="s">
        <v>85</v>
      </c>
      <c r="D381" t="s">
        <v>86</v>
      </c>
      <c r="E381" t="s">
        <v>34</v>
      </c>
      <c r="F381" t="s">
        <v>25</v>
      </c>
      <c r="G381" t="s">
        <v>35</v>
      </c>
      <c r="H381" t="s">
        <v>36</v>
      </c>
      <c r="I381" t="s">
        <v>89</v>
      </c>
      <c r="J381" t="s">
        <v>90</v>
      </c>
      <c r="K381">
        <v>3</v>
      </c>
      <c r="L381">
        <v>115500</v>
      </c>
      <c r="M381" s="7">
        <v>0.3</v>
      </c>
      <c r="N381">
        <v>-2356.98</v>
      </c>
      <c r="O381" t="s">
        <v>39</v>
      </c>
      <c r="P381">
        <f t="shared" si="25"/>
        <v>2025</v>
      </c>
      <c r="Q381" t="str">
        <f t="shared" si="26"/>
        <v>Dec</v>
      </c>
      <c r="R381" s="3">
        <f t="shared" si="27"/>
        <v>-2.0406753246753246E-2</v>
      </c>
      <c r="S381" t="str">
        <f t="shared" si="28"/>
        <v>High</v>
      </c>
      <c r="T381">
        <f t="shared" si="29"/>
        <v>12</v>
      </c>
    </row>
    <row r="382" spans="1:20">
      <c r="A382" t="s">
        <v>601</v>
      </c>
      <c r="B382" s="2">
        <v>45775</v>
      </c>
      <c r="C382" t="s">
        <v>247</v>
      </c>
      <c r="D382" t="s">
        <v>169</v>
      </c>
      <c r="E382" t="s">
        <v>70</v>
      </c>
      <c r="F382" t="s">
        <v>25</v>
      </c>
      <c r="G382" t="s">
        <v>26</v>
      </c>
      <c r="H382" t="s">
        <v>127</v>
      </c>
      <c r="I382" t="s">
        <v>128</v>
      </c>
      <c r="J382" t="s">
        <v>129</v>
      </c>
      <c r="K382">
        <v>4</v>
      </c>
      <c r="L382">
        <v>4800</v>
      </c>
      <c r="M382" s="7">
        <v>0</v>
      </c>
      <c r="N382">
        <v>1085.53</v>
      </c>
      <c r="O382" t="s">
        <v>91</v>
      </c>
      <c r="P382">
        <f t="shared" si="25"/>
        <v>2025</v>
      </c>
      <c r="Q382" t="str">
        <f t="shared" si="26"/>
        <v>Apr</v>
      </c>
      <c r="R382" s="3">
        <f t="shared" si="27"/>
        <v>0.22615208333333334</v>
      </c>
      <c r="S382" t="str">
        <f t="shared" si="28"/>
        <v>Low</v>
      </c>
      <c r="T382">
        <f t="shared" si="29"/>
        <v>4</v>
      </c>
    </row>
    <row r="383" spans="1:20">
      <c r="A383" t="s">
        <v>602</v>
      </c>
      <c r="B383" s="2">
        <v>45811</v>
      </c>
      <c r="C383" t="s">
        <v>394</v>
      </c>
      <c r="D383" t="s">
        <v>216</v>
      </c>
      <c r="E383" t="s">
        <v>95</v>
      </c>
      <c r="F383" t="s">
        <v>25</v>
      </c>
      <c r="G383" t="s">
        <v>26</v>
      </c>
      <c r="H383" t="s">
        <v>36</v>
      </c>
      <c r="I383" t="s">
        <v>37</v>
      </c>
      <c r="J383" t="s">
        <v>38</v>
      </c>
      <c r="K383">
        <v>2</v>
      </c>
      <c r="L383">
        <v>765</v>
      </c>
      <c r="M383" s="7">
        <v>0.15</v>
      </c>
      <c r="N383">
        <v>134.97999999999999</v>
      </c>
      <c r="O383" t="s">
        <v>39</v>
      </c>
      <c r="P383">
        <f t="shared" si="25"/>
        <v>2025</v>
      </c>
      <c r="Q383" t="str">
        <f t="shared" si="26"/>
        <v>Jun</v>
      </c>
      <c r="R383" s="3">
        <f t="shared" si="27"/>
        <v>0.17644444444444443</v>
      </c>
      <c r="S383" t="str">
        <f t="shared" si="28"/>
        <v>Low</v>
      </c>
      <c r="T383">
        <f t="shared" si="29"/>
        <v>6</v>
      </c>
    </row>
    <row r="384" spans="1:20">
      <c r="A384" t="s">
        <v>603</v>
      </c>
      <c r="B384" s="2">
        <v>45929</v>
      </c>
      <c r="C384" t="s">
        <v>355</v>
      </c>
      <c r="D384" t="s">
        <v>356</v>
      </c>
      <c r="E384" t="s">
        <v>70</v>
      </c>
      <c r="F384" t="s">
        <v>25</v>
      </c>
      <c r="G384" t="s">
        <v>26</v>
      </c>
      <c r="H384" t="s">
        <v>36</v>
      </c>
      <c r="I384" t="s">
        <v>115</v>
      </c>
      <c r="J384" t="s">
        <v>116</v>
      </c>
      <c r="K384">
        <v>5</v>
      </c>
      <c r="L384">
        <v>6000</v>
      </c>
      <c r="M384" s="7">
        <v>0</v>
      </c>
      <c r="N384">
        <v>1212.3800000000001</v>
      </c>
      <c r="O384" t="s">
        <v>91</v>
      </c>
      <c r="P384">
        <f t="shared" si="25"/>
        <v>2025</v>
      </c>
      <c r="Q384" t="str">
        <f t="shared" si="26"/>
        <v>Sep</v>
      </c>
      <c r="R384" s="3">
        <f t="shared" si="27"/>
        <v>0.20206333333333334</v>
      </c>
      <c r="S384" t="str">
        <f t="shared" si="28"/>
        <v>Low</v>
      </c>
      <c r="T384">
        <f t="shared" si="29"/>
        <v>9</v>
      </c>
    </row>
    <row r="385" spans="1:20">
      <c r="A385" t="s">
        <v>604</v>
      </c>
      <c r="B385" s="2">
        <v>45735</v>
      </c>
      <c r="C385" t="s">
        <v>189</v>
      </c>
      <c r="D385" t="s">
        <v>190</v>
      </c>
      <c r="E385" t="s">
        <v>147</v>
      </c>
      <c r="F385" t="s">
        <v>76</v>
      </c>
      <c r="G385" t="s">
        <v>77</v>
      </c>
      <c r="H385" t="s">
        <v>36</v>
      </c>
      <c r="I385" t="s">
        <v>115</v>
      </c>
      <c r="J385" t="s">
        <v>116</v>
      </c>
      <c r="K385">
        <v>4</v>
      </c>
      <c r="L385">
        <v>800</v>
      </c>
      <c r="M385" s="7">
        <v>0.2</v>
      </c>
      <c r="N385">
        <v>107.45</v>
      </c>
      <c r="O385" t="s">
        <v>83</v>
      </c>
      <c r="P385">
        <f t="shared" si="25"/>
        <v>2025</v>
      </c>
      <c r="Q385" t="str">
        <f t="shared" si="26"/>
        <v>Mar</v>
      </c>
      <c r="R385" s="3">
        <f t="shared" si="27"/>
        <v>0.1343125</v>
      </c>
      <c r="S385" t="str">
        <f t="shared" si="28"/>
        <v>Low</v>
      </c>
      <c r="T385">
        <f t="shared" si="29"/>
        <v>3</v>
      </c>
    </row>
    <row r="386" spans="1:20">
      <c r="A386" t="s">
        <v>605</v>
      </c>
      <c r="B386" s="2">
        <v>45721</v>
      </c>
      <c r="C386" t="s">
        <v>32</v>
      </c>
      <c r="D386" t="s">
        <v>33</v>
      </c>
      <c r="E386" t="s">
        <v>24</v>
      </c>
      <c r="F386" t="s">
        <v>25</v>
      </c>
      <c r="G386" t="s">
        <v>26</v>
      </c>
      <c r="H386" t="s">
        <v>36</v>
      </c>
      <c r="I386" t="s">
        <v>37</v>
      </c>
      <c r="J386" t="s">
        <v>38</v>
      </c>
      <c r="K386">
        <v>5</v>
      </c>
      <c r="L386">
        <v>6750</v>
      </c>
      <c r="M386" s="7">
        <v>0.25</v>
      </c>
      <c r="N386">
        <v>314.57</v>
      </c>
      <c r="O386" t="s">
        <v>91</v>
      </c>
      <c r="P386">
        <f t="shared" ref="P386:P449" si="30">YEAR(B386)</f>
        <v>2025</v>
      </c>
      <c r="Q386" t="str">
        <f t="shared" ref="Q386:Q449" si="31">TEXT(B386,"mmm")</f>
        <v>Mar</v>
      </c>
      <c r="R386" s="3">
        <f t="shared" ref="R386:R449" si="32">N386/L386</f>
        <v>4.6602962962962964E-2</v>
      </c>
      <c r="S386" t="str">
        <f t="shared" ref="S386:S449" si="33">IF(L386&gt;=30000,"High","Low")</f>
        <v>Low</v>
      </c>
      <c r="T386">
        <f t="shared" ref="T386:T449" si="34">MONTH(B386)</f>
        <v>3</v>
      </c>
    </row>
    <row r="387" spans="1:20">
      <c r="A387" t="s">
        <v>606</v>
      </c>
      <c r="B387" s="2">
        <v>45799</v>
      </c>
      <c r="C387" t="s">
        <v>101</v>
      </c>
      <c r="D387" t="s">
        <v>102</v>
      </c>
      <c r="E387" t="s">
        <v>126</v>
      </c>
      <c r="F387" t="s">
        <v>25</v>
      </c>
      <c r="G387" t="s">
        <v>35</v>
      </c>
      <c r="H387" t="s">
        <v>27</v>
      </c>
      <c r="I387" t="s">
        <v>28</v>
      </c>
      <c r="J387" t="s">
        <v>29</v>
      </c>
      <c r="K387">
        <v>1</v>
      </c>
      <c r="L387">
        <v>13775</v>
      </c>
      <c r="M387" s="7">
        <v>0.05</v>
      </c>
      <c r="N387">
        <v>2385.54</v>
      </c>
      <c r="O387" t="s">
        <v>30</v>
      </c>
      <c r="P387">
        <f t="shared" si="30"/>
        <v>2025</v>
      </c>
      <c r="Q387" t="str">
        <f t="shared" si="31"/>
        <v>May</v>
      </c>
      <c r="R387" s="3">
        <f t="shared" si="32"/>
        <v>0.17317894736842104</v>
      </c>
      <c r="S387" t="str">
        <f t="shared" si="33"/>
        <v>Low</v>
      </c>
      <c r="T387">
        <f t="shared" si="34"/>
        <v>5</v>
      </c>
    </row>
    <row r="388" spans="1:20">
      <c r="A388" t="s">
        <v>607</v>
      </c>
      <c r="B388" s="2">
        <v>46011</v>
      </c>
      <c r="C388" t="s">
        <v>278</v>
      </c>
      <c r="D388" t="s">
        <v>279</v>
      </c>
      <c r="E388" t="s">
        <v>114</v>
      </c>
      <c r="F388" t="s">
        <v>57</v>
      </c>
      <c r="G388" t="s">
        <v>58</v>
      </c>
      <c r="H388" t="s">
        <v>36</v>
      </c>
      <c r="I388" t="s">
        <v>89</v>
      </c>
      <c r="J388" t="s">
        <v>90</v>
      </c>
      <c r="K388">
        <v>1</v>
      </c>
      <c r="L388">
        <v>490</v>
      </c>
      <c r="M388" s="7">
        <v>0.3</v>
      </c>
      <c r="N388">
        <v>60.63</v>
      </c>
      <c r="O388" t="s">
        <v>39</v>
      </c>
      <c r="P388">
        <f t="shared" si="30"/>
        <v>2025</v>
      </c>
      <c r="Q388" t="str">
        <f t="shared" si="31"/>
        <v>Dec</v>
      </c>
      <c r="R388" s="3">
        <f t="shared" si="32"/>
        <v>0.12373469387755102</v>
      </c>
      <c r="S388" t="str">
        <f t="shared" si="33"/>
        <v>Low</v>
      </c>
      <c r="T388">
        <f t="shared" si="34"/>
        <v>12</v>
      </c>
    </row>
    <row r="389" spans="1:20">
      <c r="A389" t="s">
        <v>608</v>
      </c>
      <c r="B389" s="2">
        <v>45918</v>
      </c>
      <c r="C389" t="s">
        <v>441</v>
      </c>
      <c r="D389" t="s">
        <v>313</v>
      </c>
      <c r="E389" t="s">
        <v>75</v>
      </c>
      <c r="F389" t="s">
        <v>76</v>
      </c>
      <c r="G389" t="s">
        <v>77</v>
      </c>
      <c r="H389" t="s">
        <v>36</v>
      </c>
      <c r="I389" t="s">
        <v>37</v>
      </c>
      <c r="J389" t="s">
        <v>38</v>
      </c>
      <c r="K389">
        <v>2</v>
      </c>
      <c r="L389">
        <v>270</v>
      </c>
      <c r="M389" s="7">
        <v>0.25</v>
      </c>
      <c r="N389">
        <v>18.350000000000001</v>
      </c>
      <c r="O389" t="s">
        <v>39</v>
      </c>
      <c r="P389">
        <f t="shared" si="30"/>
        <v>2025</v>
      </c>
      <c r="Q389" t="str">
        <f t="shared" si="31"/>
        <v>Sep</v>
      </c>
      <c r="R389" s="3">
        <f t="shared" si="32"/>
        <v>6.7962962962962975E-2</v>
      </c>
      <c r="S389" t="str">
        <f t="shared" si="33"/>
        <v>Low</v>
      </c>
      <c r="T389">
        <f t="shared" si="34"/>
        <v>9</v>
      </c>
    </row>
    <row r="390" spans="1:20">
      <c r="A390" t="s">
        <v>609</v>
      </c>
      <c r="B390" s="2">
        <v>45715</v>
      </c>
      <c r="C390" t="s">
        <v>178</v>
      </c>
      <c r="D390" t="s">
        <v>86</v>
      </c>
      <c r="E390" t="s">
        <v>43</v>
      </c>
      <c r="F390" t="s">
        <v>44</v>
      </c>
      <c r="G390" t="s">
        <v>45</v>
      </c>
      <c r="H390" t="s">
        <v>36</v>
      </c>
      <c r="I390" t="s">
        <v>37</v>
      </c>
      <c r="J390" t="s">
        <v>38</v>
      </c>
      <c r="K390">
        <v>2</v>
      </c>
      <c r="L390">
        <v>14450</v>
      </c>
      <c r="M390" s="7">
        <v>0.15</v>
      </c>
      <c r="N390">
        <v>2528.08</v>
      </c>
      <c r="O390" t="s">
        <v>83</v>
      </c>
      <c r="P390">
        <f t="shared" si="30"/>
        <v>2025</v>
      </c>
      <c r="Q390" t="str">
        <f t="shared" si="31"/>
        <v>Feb</v>
      </c>
      <c r="R390" s="3">
        <f t="shared" si="32"/>
        <v>0.17495363321799307</v>
      </c>
      <c r="S390" t="str">
        <f t="shared" si="33"/>
        <v>Low</v>
      </c>
      <c r="T390">
        <f t="shared" si="34"/>
        <v>2</v>
      </c>
    </row>
    <row r="391" spans="1:20">
      <c r="A391" t="s">
        <v>610</v>
      </c>
      <c r="B391" s="2">
        <v>45820</v>
      </c>
      <c r="C391" t="s">
        <v>317</v>
      </c>
      <c r="D391" t="s">
        <v>318</v>
      </c>
      <c r="E391" t="s">
        <v>95</v>
      </c>
      <c r="F391" t="s">
        <v>25</v>
      </c>
      <c r="G391" t="s">
        <v>26</v>
      </c>
      <c r="H391" t="s">
        <v>59</v>
      </c>
      <c r="I391" t="s">
        <v>81</v>
      </c>
      <c r="J391" t="s">
        <v>82</v>
      </c>
      <c r="K391">
        <v>2</v>
      </c>
      <c r="L391">
        <v>765</v>
      </c>
      <c r="M391" s="7">
        <v>0.15</v>
      </c>
      <c r="N391">
        <v>153.65</v>
      </c>
      <c r="O391" t="s">
        <v>91</v>
      </c>
      <c r="P391">
        <f t="shared" si="30"/>
        <v>2025</v>
      </c>
      <c r="Q391" t="str">
        <f t="shared" si="31"/>
        <v>Jun</v>
      </c>
      <c r="R391" s="3">
        <f t="shared" si="32"/>
        <v>0.20084967320261438</v>
      </c>
      <c r="S391" t="str">
        <f t="shared" si="33"/>
        <v>Low</v>
      </c>
      <c r="T391">
        <f t="shared" si="34"/>
        <v>6</v>
      </c>
    </row>
    <row r="392" spans="1:20">
      <c r="A392" t="s">
        <v>611</v>
      </c>
      <c r="B392" s="2">
        <v>45746</v>
      </c>
      <c r="C392" t="s">
        <v>198</v>
      </c>
      <c r="D392" t="s">
        <v>199</v>
      </c>
      <c r="E392" t="s">
        <v>147</v>
      </c>
      <c r="F392" t="s">
        <v>76</v>
      </c>
      <c r="G392" t="s">
        <v>77</v>
      </c>
      <c r="H392" t="s">
        <v>59</v>
      </c>
      <c r="I392" t="s">
        <v>96</v>
      </c>
      <c r="J392" t="s">
        <v>61</v>
      </c>
      <c r="K392">
        <v>4</v>
      </c>
      <c r="L392">
        <v>700</v>
      </c>
      <c r="M392" s="7">
        <v>0.3</v>
      </c>
      <c r="N392">
        <v>-6.62</v>
      </c>
      <c r="O392" t="s">
        <v>83</v>
      </c>
      <c r="P392">
        <f t="shared" si="30"/>
        <v>2025</v>
      </c>
      <c r="Q392" t="str">
        <f t="shared" si="31"/>
        <v>Mar</v>
      </c>
      <c r="R392" s="3">
        <f t="shared" si="32"/>
        <v>-9.4571428571428567E-3</v>
      </c>
      <c r="S392" t="str">
        <f t="shared" si="33"/>
        <v>Low</v>
      </c>
      <c r="T392">
        <f t="shared" si="34"/>
        <v>3</v>
      </c>
    </row>
    <row r="393" spans="1:20">
      <c r="A393" t="s">
        <v>612</v>
      </c>
      <c r="B393" s="2">
        <v>45678</v>
      </c>
      <c r="C393" t="s">
        <v>79</v>
      </c>
      <c r="D393" t="s">
        <v>80</v>
      </c>
      <c r="E393" t="s">
        <v>126</v>
      </c>
      <c r="F393" t="s">
        <v>25</v>
      </c>
      <c r="G393" t="s">
        <v>35</v>
      </c>
      <c r="H393" t="s">
        <v>59</v>
      </c>
      <c r="I393" t="s">
        <v>81</v>
      </c>
      <c r="J393" t="s">
        <v>82</v>
      </c>
      <c r="K393">
        <v>1</v>
      </c>
      <c r="L393">
        <v>10150</v>
      </c>
      <c r="M393" s="7">
        <v>0.3</v>
      </c>
      <c r="N393">
        <v>792.8</v>
      </c>
      <c r="O393" t="s">
        <v>30</v>
      </c>
      <c r="P393">
        <f t="shared" si="30"/>
        <v>2025</v>
      </c>
      <c r="Q393" t="str">
        <f t="shared" si="31"/>
        <v>Jan</v>
      </c>
      <c r="R393" s="3">
        <f t="shared" si="32"/>
        <v>7.8108374384236443E-2</v>
      </c>
      <c r="S393" t="str">
        <f t="shared" si="33"/>
        <v>Low</v>
      </c>
      <c r="T393">
        <f t="shared" si="34"/>
        <v>1</v>
      </c>
    </row>
    <row r="394" spans="1:20">
      <c r="A394" t="s">
        <v>613</v>
      </c>
      <c r="B394" s="2">
        <v>46017</v>
      </c>
      <c r="C394" t="s">
        <v>192</v>
      </c>
      <c r="D394" t="s">
        <v>193</v>
      </c>
      <c r="E394" t="s">
        <v>43</v>
      </c>
      <c r="F394" t="s">
        <v>44</v>
      </c>
      <c r="G394" t="s">
        <v>45</v>
      </c>
      <c r="H394" t="s">
        <v>59</v>
      </c>
      <c r="I394" t="s">
        <v>60</v>
      </c>
      <c r="J394" t="s">
        <v>61</v>
      </c>
      <c r="K394">
        <v>4</v>
      </c>
      <c r="L394">
        <v>34000</v>
      </c>
      <c r="M394" s="7">
        <v>0</v>
      </c>
      <c r="N394">
        <v>7075.65</v>
      </c>
      <c r="O394" t="s">
        <v>39</v>
      </c>
      <c r="P394">
        <f t="shared" si="30"/>
        <v>2025</v>
      </c>
      <c r="Q394" t="str">
        <f t="shared" si="31"/>
        <v>Dec</v>
      </c>
      <c r="R394" s="3">
        <f t="shared" si="32"/>
        <v>0.20810735294117647</v>
      </c>
      <c r="S394" t="str">
        <f t="shared" si="33"/>
        <v>High</v>
      </c>
      <c r="T394">
        <f t="shared" si="34"/>
        <v>12</v>
      </c>
    </row>
    <row r="395" spans="1:20">
      <c r="A395" t="s">
        <v>614</v>
      </c>
      <c r="B395" s="2">
        <v>45816</v>
      </c>
      <c r="C395" t="s">
        <v>227</v>
      </c>
      <c r="D395" t="s">
        <v>228</v>
      </c>
      <c r="E395" t="s">
        <v>70</v>
      </c>
      <c r="F395" t="s">
        <v>25</v>
      </c>
      <c r="G395" t="s">
        <v>26</v>
      </c>
      <c r="H395" t="s">
        <v>27</v>
      </c>
      <c r="I395" t="s">
        <v>65</v>
      </c>
      <c r="J395" t="s">
        <v>66</v>
      </c>
      <c r="K395">
        <v>1</v>
      </c>
      <c r="L395">
        <v>960</v>
      </c>
      <c r="M395" s="7">
        <v>0.2</v>
      </c>
      <c r="N395">
        <v>168.45</v>
      </c>
      <c r="O395" t="s">
        <v>39</v>
      </c>
      <c r="P395">
        <f t="shared" si="30"/>
        <v>2025</v>
      </c>
      <c r="Q395" t="str">
        <f t="shared" si="31"/>
        <v>Jun</v>
      </c>
      <c r="R395" s="3">
        <f t="shared" si="32"/>
        <v>0.17546874999999998</v>
      </c>
      <c r="S395" t="str">
        <f t="shared" si="33"/>
        <v>Low</v>
      </c>
      <c r="T395">
        <f t="shared" si="34"/>
        <v>6</v>
      </c>
    </row>
    <row r="396" spans="1:20">
      <c r="A396" t="s">
        <v>615</v>
      </c>
      <c r="B396" s="2">
        <v>45858</v>
      </c>
      <c r="C396" t="s">
        <v>298</v>
      </c>
      <c r="D396" t="s">
        <v>299</v>
      </c>
      <c r="E396" t="s">
        <v>160</v>
      </c>
      <c r="F396" t="s">
        <v>25</v>
      </c>
      <c r="G396" t="s">
        <v>161</v>
      </c>
      <c r="H396" t="s">
        <v>36</v>
      </c>
      <c r="I396" t="s">
        <v>37</v>
      </c>
      <c r="J396" t="s">
        <v>38</v>
      </c>
      <c r="K396">
        <v>5</v>
      </c>
      <c r="L396">
        <v>12000</v>
      </c>
      <c r="M396" s="7">
        <v>0.25</v>
      </c>
      <c r="N396">
        <v>1704.36</v>
      </c>
      <c r="O396" t="s">
        <v>83</v>
      </c>
      <c r="P396">
        <f t="shared" si="30"/>
        <v>2025</v>
      </c>
      <c r="Q396" t="str">
        <f t="shared" si="31"/>
        <v>Jul</v>
      </c>
      <c r="R396" s="3">
        <f t="shared" si="32"/>
        <v>0.14202999999999999</v>
      </c>
      <c r="S396" t="str">
        <f t="shared" si="33"/>
        <v>Low</v>
      </c>
      <c r="T396">
        <f t="shared" si="34"/>
        <v>7</v>
      </c>
    </row>
    <row r="397" spans="1:20">
      <c r="A397" t="s">
        <v>616</v>
      </c>
      <c r="B397" s="2">
        <v>45881</v>
      </c>
      <c r="C397" t="s">
        <v>617</v>
      </c>
      <c r="D397" t="s">
        <v>618</v>
      </c>
      <c r="E397" t="s">
        <v>56</v>
      </c>
      <c r="F397" t="s">
        <v>57</v>
      </c>
      <c r="G397" t="s">
        <v>58</v>
      </c>
      <c r="H397" t="s">
        <v>27</v>
      </c>
      <c r="I397" t="s">
        <v>28</v>
      </c>
      <c r="J397" t="s">
        <v>29</v>
      </c>
      <c r="K397">
        <v>2</v>
      </c>
      <c r="L397">
        <v>3200</v>
      </c>
      <c r="M397" s="7">
        <v>0</v>
      </c>
      <c r="N397">
        <v>412.47</v>
      </c>
      <c r="O397" t="s">
        <v>83</v>
      </c>
      <c r="P397">
        <f t="shared" si="30"/>
        <v>2025</v>
      </c>
      <c r="Q397" t="str">
        <f t="shared" si="31"/>
        <v>Aug</v>
      </c>
      <c r="R397" s="3">
        <f t="shared" si="32"/>
        <v>0.12889687500000002</v>
      </c>
      <c r="S397" t="str">
        <f t="shared" si="33"/>
        <v>Low</v>
      </c>
      <c r="T397">
        <f t="shared" si="34"/>
        <v>8</v>
      </c>
    </row>
    <row r="398" spans="1:20">
      <c r="A398" t="s">
        <v>619</v>
      </c>
      <c r="B398" s="2">
        <v>45969</v>
      </c>
      <c r="C398" t="s">
        <v>181</v>
      </c>
      <c r="D398" t="s">
        <v>182</v>
      </c>
      <c r="E398" t="s">
        <v>75</v>
      </c>
      <c r="F398" t="s">
        <v>76</v>
      </c>
      <c r="G398" t="s">
        <v>77</v>
      </c>
      <c r="H398" t="s">
        <v>59</v>
      </c>
      <c r="I398" t="s">
        <v>81</v>
      </c>
      <c r="J398" t="s">
        <v>82</v>
      </c>
      <c r="K398">
        <v>1</v>
      </c>
      <c r="L398">
        <v>162</v>
      </c>
      <c r="M398" s="7">
        <v>0.1</v>
      </c>
      <c r="N398">
        <v>28.64</v>
      </c>
      <c r="O398" t="s">
        <v>39</v>
      </c>
      <c r="P398">
        <f t="shared" si="30"/>
        <v>2025</v>
      </c>
      <c r="Q398" t="str">
        <f t="shared" si="31"/>
        <v>Nov</v>
      </c>
      <c r="R398" s="3">
        <f t="shared" si="32"/>
        <v>0.17679012345679013</v>
      </c>
      <c r="S398" t="str">
        <f t="shared" si="33"/>
        <v>Low</v>
      </c>
      <c r="T398">
        <f t="shared" si="34"/>
        <v>11</v>
      </c>
    </row>
    <row r="399" spans="1:20">
      <c r="A399" t="s">
        <v>620</v>
      </c>
      <c r="B399" s="2">
        <v>46020</v>
      </c>
      <c r="C399" t="s">
        <v>322</v>
      </c>
      <c r="D399" t="s">
        <v>323</v>
      </c>
      <c r="E399" t="s">
        <v>34</v>
      </c>
      <c r="F399" t="s">
        <v>25</v>
      </c>
      <c r="G399" t="s">
        <v>35</v>
      </c>
      <c r="H399" t="s">
        <v>27</v>
      </c>
      <c r="I399" t="s">
        <v>65</v>
      </c>
      <c r="J399" t="s">
        <v>66</v>
      </c>
      <c r="K399">
        <v>2</v>
      </c>
      <c r="L399">
        <v>82500</v>
      </c>
      <c r="M399" s="7">
        <v>0.25</v>
      </c>
      <c r="N399">
        <v>102.66</v>
      </c>
      <c r="O399" t="s">
        <v>91</v>
      </c>
      <c r="P399">
        <f t="shared" si="30"/>
        <v>2025</v>
      </c>
      <c r="Q399" t="str">
        <f t="shared" si="31"/>
        <v>Dec</v>
      </c>
      <c r="R399" s="3">
        <f t="shared" si="32"/>
        <v>1.2443636363636363E-3</v>
      </c>
      <c r="S399" t="str">
        <f t="shared" si="33"/>
        <v>High</v>
      </c>
      <c r="T399">
        <f t="shared" si="34"/>
        <v>12</v>
      </c>
    </row>
    <row r="400" spans="1:20">
      <c r="A400" t="s">
        <v>621</v>
      </c>
      <c r="B400" s="2">
        <v>45790</v>
      </c>
      <c r="C400" t="s">
        <v>441</v>
      </c>
      <c r="D400" t="s">
        <v>313</v>
      </c>
      <c r="E400" t="s">
        <v>121</v>
      </c>
      <c r="F400" t="s">
        <v>44</v>
      </c>
      <c r="G400" t="s">
        <v>122</v>
      </c>
      <c r="H400" t="s">
        <v>36</v>
      </c>
      <c r="I400" t="s">
        <v>37</v>
      </c>
      <c r="J400" t="s">
        <v>38</v>
      </c>
      <c r="K400">
        <v>2</v>
      </c>
      <c r="L400">
        <v>11700</v>
      </c>
      <c r="M400" s="7">
        <v>0.1</v>
      </c>
      <c r="N400">
        <v>770.54</v>
      </c>
      <c r="O400" t="s">
        <v>91</v>
      </c>
      <c r="P400">
        <f t="shared" si="30"/>
        <v>2025</v>
      </c>
      <c r="Q400" t="str">
        <f t="shared" si="31"/>
        <v>May</v>
      </c>
      <c r="R400" s="3">
        <f t="shared" si="32"/>
        <v>6.5858119658119649E-2</v>
      </c>
      <c r="S400" t="str">
        <f t="shared" si="33"/>
        <v>Low</v>
      </c>
      <c r="T400">
        <f t="shared" si="34"/>
        <v>5</v>
      </c>
    </row>
    <row r="401" spans="1:20">
      <c r="A401" t="s">
        <v>622</v>
      </c>
      <c r="B401" s="2">
        <v>45673</v>
      </c>
      <c r="C401" t="s">
        <v>322</v>
      </c>
      <c r="D401" t="s">
        <v>323</v>
      </c>
      <c r="E401" t="s">
        <v>114</v>
      </c>
      <c r="F401" t="s">
        <v>57</v>
      </c>
      <c r="G401" t="s">
        <v>58</v>
      </c>
      <c r="H401" t="s">
        <v>27</v>
      </c>
      <c r="I401" t="s">
        <v>65</v>
      </c>
      <c r="J401" t="s">
        <v>66</v>
      </c>
      <c r="K401">
        <v>3</v>
      </c>
      <c r="L401">
        <v>1470</v>
      </c>
      <c r="M401" s="7">
        <v>0.3</v>
      </c>
      <c r="N401">
        <v>97.87</v>
      </c>
      <c r="O401" t="s">
        <v>91</v>
      </c>
      <c r="P401">
        <f t="shared" si="30"/>
        <v>2025</v>
      </c>
      <c r="Q401" t="str">
        <f t="shared" si="31"/>
        <v>Jan</v>
      </c>
      <c r="R401" s="3">
        <f t="shared" si="32"/>
        <v>6.6578231292517012E-2</v>
      </c>
      <c r="S401" t="str">
        <f t="shared" si="33"/>
        <v>Low</v>
      </c>
      <c r="T401">
        <f t="shared" si="34"/>
        <v>1</v>
      </c>
    </row>
    <row r="402" spans="1:20">
      <c r="A402" t="s">
        <v>623</v>
      </c>
      <c r="B402" s="2">
        <v>45697</v>
      </c>
      <c r="C402" t="s">
        <v>157</v>
      </c>
      <c r="D402" t="s">
        <v>158</v>
      </c>
      <c r="E402" t="s">
        <v>147</v>
      </c>
      <c r="F402" t="s">
        <v>76</v>
      </c>
      <c r="G402" t="s">
        <v>77</v>
      </c>
      <c r="H402" t="s">
        <v>36</v>
      </c>
      <c r="I402" t="s">
        <v>37</v>
      </c>
      <c r="J402" t="s">
        <v>38</v>
      </c>
      <c r="K402">
        <v>4</v>
      </c>
      <c r="L402">
        <v>850</v>
      </c>
      <c r="M402" s="7">
        <v>0.15</v>
      </c>
      <c r="N402">
        <v>127.57</v>
      </c>
      <c r="O402" t="s">
        <v>30</v>
      </c>
      <c r="P402">
        <f t="shared" si="30"/>
        <v>2025</v>
      </c>
      <c r="Q402" t="str">
        <f t="shared" si="31"/>
        <v>Feb</v>
      </c>
      <c r="R402" s="3">
        <f t="shared" si="32"/>
        <v>0.15008235294117647</v>
      </c>
      <c r="S402" t="str">
        <f t="shared" si="33"/>
        <v>Low</v>
      </c>
      <c r="T402">
        <f t="shared" si="34"/>
        <v>2</v>
      </c>
    </row>
    <row r="403" spans="1:20">
      <c r="A403" t="s">
        <v>624</v>
      </c>
      <c r="B403" s="2">
        <v>45738</v>
      </c>
      <c r="C403" t="s">
        <v>41</v>
      </c>
      <c r="D403" t="s">
        <v>42</v>
      </c>
      <c r="E403" t="s">
        <v>160</v>
      </c>
      <c r="F403" t="s">
        <v>25</v>
      </c>
      <c r="G403" t="s">
        <v>161</v>
      </c>
      <c r="H403" t="s">
        <v>27</v>
      </c>
      <c r="I403" t="s">
        <v>46</v>
      </c>
      <c r="J403" t="s">
        <v>46</v>
      </c>
      <c r="K403">
        <v>3</v>
      </c>
      <c r="L403">
        <v>6720</v>
      </c>
      <c r="M403" s="7">
        <v>0.3</v>
      </c>
      <c r="N403">
        <v>-16.55</v>
      </c>
      <c r="O403" t="s">
        <v>83</v>
      </c>
      <c r="P403">
        <f t="shared" si="30"/>
        <v>2025</v>
      </c>
      <c r="Q403" t="str">
        <f t="shared" si="31"/>
        <v>Mar</v>
      </c>
      <c r="R403" s="3">
        <f t="shared" si="32"/>
        <v>-2.4627976190476192E-3</v>
      </c>
      <c r="S403" t="str">
        <f t="shared" si="33"/>
        <v>Low</v>
      </c>
      <c r="T403">
        <f t="shared" si="34"/>
        <v>3</v>
      </c>
    </row>
    <row r="404" spans="1:20">
      <c r="A404" t="s">
        <v>625</v>
      </c>
      <c r="B404" s="2">
        <v>45918</v>
      </c>
      <c r="C404" t="s">
        <v>392</v>
      </c>
      <c r="D404" t="s">
        <v>107</v>
      </c>
      <c r="E404" t="s">
        <v>56</v>
      </c>
      <c r="F404" t="s">
        <v>57</v>
      </c>
      <c r="G404" t="s">
        <v>58</v>
      </c>
      <c r="H404" t="s">
        <v>36</v>
      </c>
      <c r="I404" t="s">
        <v>37</v>
      </c>
      <c r="J404" t="s">
        <v>38</v>
      </c>
      <c r="K404">
        <v>1</v>
      </c>
      <c r="L404">
        <v>1600</v>
      </c>
      <c r="M404" s="7">
        <v>0</v>
      </c>
      <c r="N404">
        <v>402.78</v>
      </c>
      <c r="O404" t="s">
        <v>83</v>
      </c>
      <c r="P404">
        <f t="shared" si="30"/>
        <v>2025</v>
      </c>
      <c r="Q404" t="str">
        <f t="shared" si="31"/>
        <v>Sep</v>
      </c>
      <c r="R404" s="3">
        <f t="shared" si="32"/>
        <v>0.2517375</v>
      </c>
      <c r="S404" t="str">
        <f t="shared" si="33"/>
        <v>Low</v>
      </c>
      <c r="T404">
        <f t="shared" si="34"/>
        <v>9</v>
      </c>
    </row>
    <row r="405" spans="1:20">
      <c r="A405" t="s">
        <v>626</v>
      </c>
      <c r="B405" s="2">
        <v>45854</v>
      </c>
      <c r="C405" t="s">
        <v>175</v>
      </c>
      <c r="D405" t="s">
        <v>176</v>
      </c>
      <c r="E405" t="s">
        <v>160</v>
      </c>
      <c r="F405" t="s">
        <v>25</v>
      </c>
      <c r="G405" t="s">
        <v>161</v>
      </c>
      <c r="H405" t="s">
        <v>59</v>
      </c>
      <c r="I405" t="s">
        <v>96</v>
      </c>
      <c r="J405" t="s">
        <v>61</v>
      </c>
      <c r="K405">
        <v>2</v>
      </c>
      <c r="L405">
        <v>6080</v>
      </c>
      <c r="M405" s="7">
        <v>0.05</v>
      </c>
      <c r="N405">
        <v>1492.72</v>
      </c>
      <c r="O405" t="s">
        <v>30</v>
      </c>
      <c r="P405">
        <f t="shared" si="30"/>
        <v>2025</v>
      </c>
      <c r="Q405" t="str">
        <f t="shared" si="31"/>
        <v>Jul</v>
      </c>
      <c r="R405" s="3">
        <f t="shared" si="32"/>
        <v>0.24551315789473685</v>
      </c>
      <c r="S405" t="str">
        <f t="shared" si="33"/>
        <v>Low</v>
      </c>
      <c r="T405">
        <f t="shared" si="34"/>
        <v>7</v>
      </c>
    </row>
    <row r="406" spans="1:20">
      <c r="A406" t="s">
        <v>627</v>
      </c>
      <c r="B406" s="2">
        <v>45822</v>
      </c>
      <c r="C406" t="s">
        <v>192</v>
      </c>
      <c r="D406" t="s">
        <v>193</v>
      </c>
      <c r="E406" t="s">
        <v>126</v>
      </c>
      <c r="F406" t="s">
        <v>25</v>
      </c>
      <c r="G406" t="s">
        <v>35</v>
      </c>
      <c r="H406" t="s">
        <v>59</v>
      </c>
      <c r="I406" t="s">
        <v>60</v>
      </c>
      <c r="J406" t="s">
        <v>61</v>
      </c>
      <c r="K406">
        <v>2</v>
      </c>
      <c r="L406">
        <v>24650</v>
      </c>
      <c r="M406" s="7">
        <v>0.15</v>
      </c>
      <c r="N406">
        <v>5451.92</v>
      </c>
      <c r="O406" t="s">
        <v>83</v>
      </c>
      <c r="P406">
        <f t="shared" si="30"/>
        <v>2025</v>
      </c>
      <c r="Q406" t="str">
        <f t="shared" si="31"/>
        <v>Jun</v>
      </c>
      <c r="R406" s="3">
        <f t="shared" si="32"/>
        <v>0.22117322515212981</v>
      </c>
      <c r="S406" t="str">
        <f t="shared" si="33"/>
        <v>Low</v>
      </c>
      <c r="T406">
        <f t="shared" si="34"/>
        <v>6</v>
      </c>
    </row>
    <row r="407" spans="1:20">
      <c r="A407" t="s">
        <v>628</v>
      </c>
      <c r="B407" s="2">
        <v>45719</v>
      </c>
      <c r="C407" t="s">
        <v>157</v>
      </c>
      <c r="D407" t="s">
        <v>158</v>
      </c>
      <c r="E407" t="s">
        <v>160</v>
      </c>
      <c r="F407" t="s">
        <v>25</v>
      </c>
      <c r="G407" t="s">
        <v>161</v>
      </c>
      <c r="H407" t="s">
        <v>36</v>
      </c>
      <c r="I407" t="s">
        <v>37</v>
      </c>
      <c r="J407" t="s">
        <v>38</v>
      </c>
      <c r="K407">
        <v>5</v>
      </c>
      <c r="L407">
        <v>12000</v>
      </c>
      <c r="M407" s="7">
        <v>0.25</v>
      </c>
      <c r="N407">
        <v>2390.15</v>
      </c>
      <c r="O407" t="s">
        <v>30</v>
      </c>
      <c r="P407">
        <f t="shared" si="30"/>
        <v>2025</v>
      </c>
      <c r="Q407" t="str">
        <f t="shared" si="31"/>
        <v>Mar</v>
      </c>
      <c r="R407" s="3">
        <f t="shared" si="32"/>
        <v>0.19917916666666668</v>
      </c>
      <c r="S407" t="str">
        <f t="shared" si="33"/>
        <v>Low</v>
      </c>
      <c r="T407">
        <f t="shared" si="34"/>
        <v>3</v>
      </c>
    </row>
    <row r="408" spans="1:20">
      <c r="A408" t="s">
        <v>629</v>
      </c>
      <c r="B408" s="2">
        <v>45693</v>
      </c>
      <c r="C408" t="s">
        <v>292</v>
      </c>
      <c r="D408" t="s">
        <v>293</v>
      </c>
      <c r="E408" t="s">
        <v>43</v>
      </c>
      <c r="F408" t="s">
        <v>44</v>
      </c>
      <c r="G408" t="s">
        <v>45</v>
      </c>
      <c r="H408" t="s">
        <v>27</v>
      </c>
      <c r="I408" t="s">
        <v>28</v>
      </c>
      <c r="J408" t="s">
        <v>29</v>
      </c>
      <c r="K408">
        <v>4</v>
      </c>
      <c r="L408">
        <v>23800</v>
      </c>
      <c r="M408" s="7">
        <v>0.3</v>
      </c>
      <c r="N408">
        <v>311.73</v>
      </c>
      <c r="O408" t="s">
        <v>91</v>
      </c>
      <c r="P408">
        <f t="shared" si="30"/>
        <v>2025</v>
      </c>
      <c r="Q408" t="str">
        <f t="shared" si="31"/>
        <v>Feb</v>
      </c>
      <c r="R408" s="3">
        <f t="shared" si="32"/>
        <v>1.3097899159663867E-2</v>
      </c>
      <c r="S408" t="str">
        <f t="shared" si="33"/>
        <v>Low</v>
      </c>
      <c r="T408">
        <f t="shared" si="34"/>
        <v>2</v>
      </c>
    </row>
    <row r="409" spans="1:20">
      <c r="A409" t="s">
        <v>630</v>
      </c>
      <c r="B409" s="2">
        <v>45891</v>
      </c>
      <c r="C409" t="s">
        <v>399</v>
      </c>
      <c r="D409" t="s">
        <v>400</v>
      </c>
      <c r="E409" t="s">
        <v>121</v>
      </c>
      <c r="F409" t="s">
        <v>44</v>
      </c>
      <c r="G409" t="s">
        <v>122</v>
      </c>
      <c r="H409" t="s">
        <v>36</v>
      </c>
      <c r="I409" t="s">
        <v>37</v>
      </c>
      <c r="J409" t="s">
        <v>38</v>
      </c>
      <c r="K409">
        <v>1</v>
      </c>
      <c r="L409">
        <v>5850</v>
      </c>
      <c r="M409" s="7">
        <v>0.1</v>
      </c>
      <c r="N409">
        <v>503.33</v>
      </c>
      <c r="O409" t="s">
        <v>91</v>
      </c>
      <c r="P409">
        <f t="shared" si="30"/>
        <v>2025</v>
      </c>
      <c r="Q409" t="str">
        <f t="shared" si="31"/>
        <v>Aug</v>
      </c>
      <c r="R409" s="3">
        <f t="shared" si="32"/>
        <v>8.6039316239316238E-2</v>
      </c>
      <c r="S409" t="str">
        <f t="shared" si="33"/>
        <v>Low</v>
      </c>
      <c r="T409">
        <f t="shared" si="34"/>
        <v>8</v>
      </c>
    </row>
    <row r="410" spans="1:20">
      <c r="A410" t="s">
        <v>631</v>
      </c>
      <c r="B410" s="2">
        <v>45895</v>
      </c>
      <c r="C410" t="s">
        <v>131</v>
      </c>
      <c r="D410" t="s">
        <v>132</v>
      </c>
      <c r="E410" t="s">
        <v>126</v>
      </c>
      <c r="F410" t="s">
        <v>25</v>
      </c>
      <c r="G410" t="s">
        <v>35</v>
      </c>
      <c r="H410" t="s">
        <v>36</v>
      </c>
      <c r="I410" t="s">
        <v>89</v>
      </c>
      <c r="J410" t="s">
        <v>90</v>
      </c>
      <c r="K410">
        <v>3</v>
      </c>
      <c r="L410">
        <v>34800</v>
      </c>
      <c r="M410" s="7">
        <v>0.2</v>
      </c>
      <c r="N410">
        <v>6419.98</v>
      </c>
      <c r="O410" t="s">
        <v>39</v>
      </c>
      <c r="P410">
        <f t="shared" si="30"/>
        <v>2025</v>
      </c>
      <c r="Q410" t="str">
        <f t="shared" si="31"/>
        <v>Aug</v>
      </c>
      <c r="R410" s="3">
        <f t="shared" si="32"/>
        <v>0.18448218390804597</v>
      </c>
      <c r="S410" t="str">
        <f t="shared" si="33"/>
        <v>High</v>
      </c>
      <c r="T410">
        <f t="shared" si="34"/>
        <v>8</v>
      </c>
    </row>
    <row r="411" spans="1:20">
      <c r="A411" t="s">
        <v>632</v>
      </c>
      <c r="B411" s="2">
        <v>45783</v>
      </c>
      <c r="C411" t="s">
        <v>198</v>
      </c>
      <c r="D411" t="s">
        <v>199</v>
      </c>
      <c r="E411" t="s">
        <v>114</v>
      </c>
      <c r="F411" t="s">
        <v>57</v>
      </c>
      <c r="G411" t="s">
        <v>58</v>
      </c>
      <c r="H411" t="s">
        <v>59</v>
      </c>
      <c r="I411" t="s">
        <v>96</v>
      </c>
      <c r="J411" t="s">
        <v>61</v>
      </c>
      <c r="K411">
        <v>2</v>
      </c>
      <c r="L411">
        <v>1400</v>
      </c>
      <c r="M411" s="7">
        <v>0</v>
      </c>
      <c r="N411">
        <v>373.07</v>
      </c>
      <c r="O411" t="s">
        <v>30</v>
      </c>
      <c r="P411">
        <f t="shared" si="30"/>
        <v>2025</v>
      </c>
      <c r="Q411" t="str">
        <f t="shared" si="31"/>
        <v>May</v>
      </c>
      <c r="R411" s="3">
        <f t="shared" si="32"/>
        <v>0.2664785714285714</v>
      </c>
      <c r="S411" t="str">
        <f t="shared" si="33"/>
        <v>Low</v>
      </c>
      <c r="T411">
        <f t="shared" si="34"/>
        <v>5</v>
      </c>
    </row>
    <row r="412" spans="1:20">
      <c r="A412" t="s">
        <v>633</v>
      </c>
      <c r="B412" s="2">
        <v>46013</v>
      </c>
      <c r="C412" t="s">
        <v>149</v>
      </c>
      <c r="D412" t="s">
        <v>150</v>
      </c>
      <c r="E412" t="s">
        <v>147</v>
      </c>
      <c r="F412" t="s">
        <v>76</v>
      </c>
      <c r="G412" t="s">
        <v>77</v>
      </c>
      <c r="H412" t="s">
        <v>59</v>
      </c>
      <c r="I412" t="s">
        <v>96</v>
      </c>
      <c r="J412" t="s">
        <v>61</v>
      </c>
      <c r="K412">
        <v>1</v>
      </c>
      <c r="L412">
        <v>225</v>
      </c>
      <c r="M412" s="7">
        <v>0.1</v>
      </c>
      <c r="N412">
        <v>9.8699999999999992</v>
      </c>
      <c r="O412" t="s">
        <v>91</v>
      </c>
      <c r="P412">
        <f t="shared" si="30"/>
        <v>2025</v>
      </c>
      <c r="Q412" t="str">
        <f t="shared" si="31"/>
        <v>Dec</v>
      </c>
      <c r="R412" s="3">
        <f t="shared" si="32"/>
        <v>4.3866666666666665E-2</v>
      </c>
      <c r="S412" t="str">
        <f t="shared" si="33"/>
        <v>Low</v>
      </c>
      <c r="T412">
        <f t="shared" si="34"/>
        <v>12</v>
      </c>
    </row>
    <row r="413" spans="1:20">
      <c r="A413" t="s">
        <v>634</v>
      </c>
      <c r="B413" s="2">
        <v>45929</v>
      </c>
      <c r="C413" t="s">
        <v>270</v>
      </c>
      <c r="D413" t="s">
        <v>271</v>
      </c>
      <c r="E413" t="s">
        <v>126</v>
      </c>
      <c r="F413" t="s">
        <v>25</v>
      </c>
      <c r="G413" t="s">
        <v>35</v>
      </c>
      <c r="H413" t="s">
        <v>27</v>
      </c>
      <c r="I413" t="s">
        <v>28</v>
      </c>
      <c r="J413" t="s">
        <v>29</v>
      </c>
      <c r="K413">
        <v>2</v>
      </c>
      <c r="L413">
        <v>24650</v>
      </c>
      <c r="M413" s="7">
        <v>0.15</v>
      </c>
      <c r="N413">
        <v>3602.84</v>
      </c>
      <c r="O413" t="s">
        <v>39</v>
      </c>
      <c r="P413">
        <f t="shared" si="30"/>
        <v>2025</v>
      </c>
      <c r="Q413" t="str">
        <f t="shared" si="31"/>
        <v>Sep</v>
      </c>
      <c r="R413" s="3">
        <f t="shared" si="32"/>
        <v>0.14615983772819474</v>
      </c>
      <c r="S413" t="str">
        <f t="shared" si="33"/>
        <v>Low</v>
      </c>
      <c r="T413">
        <f t="shared" si="34"/>
        <v>9</v>
      </c>
    </row>
    <row r="414" spans="1:20">
      <c r="A414" t="s">
        <v>635</v>
      </c>
      <c r="B414" s="2">
        <v>45680</v>
      </c>
      <c r="C414" t="s">
        <v>227</v>
      </c>
      <c r="D414" t="s">
        <v>228</v>
      </c>
      <c r="E414" t="s">
        <v>70</v>
      </c>
      <c r="F414" t="s">
        <v>25</v>
      </c>
      <c r="G414" t="s">
        <v>26</v>
      </c>
      <c r="H414" t="s">
        <v>27</v>
      </c>
      <c r="I414" t="s">
        <v>65</v>
      </c>
      <c r="J414" t="s">
        <v>66</v>
      </c>
      <c r="K414">
        <v>2</v>
      </c>
      <c r="L414">
        <v>1680</v>
      </c>
      <c r="M414" s="7">
        <v>0.3</v>
      </c>
      <c r="N414">
        <v>119.93</v>
      </c>
      <c r="O414" t="s">
        <v>91</v>
      </c>
      <c r="P414">
        <f t="shared" si="30"/>
        <v>2025</v>
      </c>
      <c r="Q414" t="str">
        <f t="shared" si="31"/>
        <v>Jan</v>
      </c>
      <c r="R414" s="3">
        <f t="shared" si="32"/>
        <v>7.1386904761904763E-2</v>
      </c>
      <c r="S414" t="str">
        <f t="shared" si="33"/>
        <v>Low</v>
      </c>
      <c r="T414">
        <f t="shared" si="34"/>
        <v>1</v>
      </c>
    </row>
    <row r="415" spans="1:20">
      <c r="A415" t="s">
        <v>636</v>
      </c>
      <c r="B415" s="2">
        <v>45701</v>
      </c>
      <c r="C415" t="s">
        <v>181</v>
      </c>
      <c r="D415" t="s">
        <v>182</v>
      </c>
      <c r="E415" t="s">
        <v>56</v>
      </c>
      <c r="F415" t="s">
        <v>57</v>
      </c>
      <c r="G415" t="s">
        <v>58</v>
      </c>
      <c r="H415" t="s">
        <v>59</v>
      </c>
      <c r="I415" t="s">
        <v>81</v>
      </c>
      <c r="J415" t="s">
        <v>82</v>
      </c>
      <c r="K415">
        <v>5</v>
      </c>
      <c r="L415">
        <v>8000</v>
      </c>
      <c r="M415" s="7">
        <v>0</v>
      </c>
      <c r="N415">
        <v>1448.68</v>
      </c>
      <c r="O415" t="s">
        <v>71</v>
      </c>
      <c r="P415">
        <f t="shared" si="30"/>
        <v>2025</v>
      </c>
      <c r="Q415" t="str">
        <f t="shared" si="31"/>
        <v>Feb</v>
      </c>
      <c r="R415" s="3">
        <f t="shared" si="32"/>
        <v>0.181085</v>
      </c>
      <c r="S415" t="str">
        <f t="shared" si="33"/>
        <v>Low</v>
      </c>
      <c r="T415">
        <f t="shared" si="34"/>
        <v>2</v>
      </c>
    </row>
    <row r="416" spans="1:20">
      <c r="A416" t="s">
        <v>637</v>
      </c>
      <c r="B416" s="2">
        <v>45948</v>
      </c>
      <c r="C416" t="s">
        <v>259</v>
      </c>
      <c r="D416" t="s">
        <v>260</v>
      </c>
      <c r="E416" t="s">
        <v>75</v>
      </c>
      <c r="F416" t="s">
        <v>76</v>
      </c>
      <c r="G416" t="s">
        <v>77</v>
      </c>
      <c r="H416" t="s">
        <v>27</v>
      </c>
      <c r="I416" t="s">
        <v>65</v>
      </c>
      <c r="J416" t="s">
        <v>66</v>
      </c>
      <c r="K416">
        <v>1</v>
      </c>
      <c r="L416">
        <v>153</v>
      </c>
      <c r="M416" s="7">
        <v>0.15</v>
      </c>
      <c r="N416">
        <v>27.17</v>
      </c>
      <c r="O416" t="s">
        <v>91</v>
      </c>
      <c r="P416">
        <f t="shared" si="30"/>
        <v>2025</v>
      </c>
      <c r="Q416" t="str">
        <f t="shared" si="31"/>
        <v>Oct</v>
      </c>
      <c r="R416" s="3">
        <f t="shared" si="32"/>
        <v>0.17758169934640525</v>
      </c>
      <c r="S416" t="str">
        <f t="shared" si="33"/>
        <v>Low</v>
      </c>
      <c r="T416">
        <f t="shared" si="34"/>
        <v>10</v>
      </c>
    </row>
    <row r="417" spans="1:20">
      <c r="A417" t="s">
        <v>638</v>
      </c>
      <c r="B417" s="2">
        <v>45819</v>
      </c>
      <c r="C417" t="s">
        <v>79</v>
      </c>
      <c r="D417" t="s">
        <v>80</v>
      </c>
      <c r="E417" t="s">
        <v>142</v>
      </c>
      <c r="F417" t="s">
        <v>25</v>
      </c>
      <c r="G417" t="s">
        <v>143</v>
      </c>
      <c r="H417" t="s">
        <v>59</v>
      </c>
      <c r="I417" t="s">
        <v>81</v>
      </c>
      <c r="J417" t="s">
        <v>82</v>
      </c>
      <c r="K417">
        <v>4</v>
      </c>
      <c r="L417">
        <v>34500</v>
      </c>
      <c r="M417" s="7">
        <v>0.25</v>
      </c>
      <c r="N417">
        <v>6071.63</v>
      </c>
      <c r="O417" t="s">
        <v>71</v>
      </c>
      <c r="P417">
        <f t="shared" si="30"/>
        <v>2025</v>
      </c>
      <c r="Q417" t="str">
        <f t="shared" si="31"/>
        <v>Jun</v>
      </c>
      <c r="R417" s="3">
        <f t="shared" si="32"/>
        <v>0.17598927536231884</v>
      </c>
      <c r="S417" t="str">
        <f t="shared" si="33"/>
        <v>High</v>
      </c>
      <c r="T417">
        <f t="shared" si="34"/>
        <v>6</v>
      </c>
    </row>
    <row r="418" spans="1:20">
      <c r="A418" t="s">
        <v>639</v>
      </c>
      <c r="B418" s="2">
        <v>45696</v>
      </c>
      <c r="C418" t="s">
        <v>137</v>
      </c>
      <c r="D418" t="s">
        <v>138</v>
      </c>
      <c r="E418" t="s">
        <v>126</v>
      </c>
      <c r="F418" t="s">
        <v>25</v>
      </c>
      <c r="G418" t="s">
        <v>35</v>
      </c>
      <c r="H418" t="s">
        <v>27</v>
      </c>
      <c r="I418" t="s">
        <v>28</v>
      </c>
      <c r="J418" t="s">
        <v>29</v>
      </c>
      <c r="K418">
        <v>2</v>
      </c>
      <c r="L418">
        <v>27550</v>
      </c>
      <c r="M418" s="7">
        <v>0.05</v>
      </c>
      <c r="N418">
        <v>6024.59</v>
      </c>
      <c r="O418" t="s">
        <v>39</v>
      </c>
      <c r="P418">
        <f t="shared" si="30"/>
        <v>2025</v>
      </c>
      <c r="Q418" t="str">
        <f t="shared" si="31"/>
        <v>Feb</v>
      </c>
      <c r="R418" s="3">
        <f t="shared" si="32"/>
        <v>0.21867840290381127</v>
      </c>
      <c r="S418" t="str">
        <f t="shared" si="33"/>
        <v>Low</v>
      </c>
      <c r="T418">
        <f t="shared" si="34"/>
        <v>2</v>
      </c>
    </row>
    <row r="419" spans="1:20">
      <c r="A419" t="s">
        <v>640</v>
      </c>
      <c r="B419" s="2">
        <v>45888</v>
      </c>
      <c r="C419" t="s">
        <v>270</v>
      </c>
      <c r="D419" t="s">
        <v>271</v>
      </c>
      <c r="E419" t="s">
        <v>24</v>
      </c>
      <c r="F419" t="s">
        <v>25</v>
      </c>
      <c r="G419" t="s">
        <v>26</v>
      </c>
      <c r="H419" t="s">
        <v>27</v>
      </c>
      <c r="I419" t="s">
        <v>28</v>
      </c>
      <c r="J419" t="s">
        <v>29</v>
      </c>
      <c r="K419">
        <v>4</v>
      </c>
      <c r="L419">
        <v>6480</v>
      </c>
      <c r="M419" s="7">
        <v>0.1</v>
      </c>
      <c r="N419">
        <v>828.82</v>
      </c>
      <c r="O419" t="s">
        <v>39</v>
      </c>
      <c r="P419">
        <f t="shared" si="30"/>
        <v>2025</v>
      </c>
      <c r="Q419" t="str">
        <f t="shared" si="31"/>
        <v>Aug</v>
      </c>
      <c r="R419" s="3">
        <f t="shared" si="32"/>
        <v>0.12790432098765434</v>
      </c>
      <c r="S419" t="str">
        <f t="shared" si="33"/>
        <v>Low</v>
      </c>
      <c r="T419">
        <f t="shared" si="34"/>
        <v>8</v>
      </c>
    </row>
    <row r="420" spans="1:20">
      <c r="A420" t="s">
        <v>641</v>
      </c>
      <c r="B420" s="2">
        <v>45895</v>
      </c>
      <c r="C420" t="s">
        <v>235</v>
      </c>
      <c r="D420" t="s">
        <v>236</v>
      </c>
      <c r="E420" t="s">
        <v>103</v>
      </c>
      <c r="F420" t="s">
        <v>25</v>
      </c>
      <c r="G420" t="s">
        <v>104</v>
      </c>
      <c r="H420" t="s">
        <v>59</v>
      </c>
      <c r="I420" t="s">
        <v>81</v>
      </c>
      <c r="J420" t="s">
        <v>82</v>
      </c>
      <c r="K420">
        <v>3</v>
      </c>
      <c r="L420">
        <v>58800</v>
      </c>
      <c r="M420" s="7">
        <v>0.3</v>
      </c>
      <c r="N420">
        <v>1891.1</v>
      </c>
      <c r="O420" t="s">
        <v>91</v>
      </c>
      <c r="P420">
        <f t="shared" si="30"/>
        <v>2025</v>
      </c>
      <c r="Q420" t="str">
        <f t="shared" si="31"/>
        <v>Aug</v>
      </c>
      <c r="R420" s="3">
        <f t="shared" si="32"/>
        <v>3.216156462585034E-2</v>
      </c>
      <c r="S420" t="str">
        <f t="shared" si="33"/>
        <v>High</v>
      </c>
      <c r="T420">
        <f t="shared" si="34"/>
        <v>8</v>
      </c>
    </row>
    <row r="421" spans="1:20">
      <c r="A421" t="s">
        <v>642</v>
      </c>
      <c r="B421" s="2">
        <v>45768</v>
      </c>
      <c r="C421" t="s">
        <v>168</v>
      </c>
      <c r="D421" t="s">
        <v>169</v>
      </c>
      <c r="E421" t="s">
        <v>34</v>
      </c>
      <c r="F421" t="s">
        <v>25</v>
      </c>
      <c r="G421" t="s">
        <v>35</v>
      </c>
      <c r="H421" t="s">
        <v>36</v>
      </c>
      <c r="I421" t="s">
        <v>37</v>
      </c>
      <c r="J421" t="s">
        <v>38</v>
      </c>
      <c r="K421">
        <v>3</v>
      </c>
      <c r="L421">
        <v>156750</v>
      </c>
      <c r="M421" s="7">
        <v>0.05</v>
      </c>
      <c r="N421">
        <v>13345.67</v>
      </c>
      <c r="O421" t="s">
        <v>91</v>
      </c>
      <c r="P421">
        <f t="shared" si="30"/>
        <v>2025</v>
      </c>
      <c r="Q421" t="str">
        <f t="shared" si="31"/>
        <v>Apr</v>
      </c>
      <c r="R421" s="3">
        <f t="shared" si="32"/>
        <v>8.5139840510366827E-2</v>
      </c>
      <c r="S421" t="str">
        <f t="shared" si="33"/>
        <v>High</v>
      </c>
      <c r="T421">
        <f t="shared" si="34"/>
        <v>4</v>
      </c>
    </row>
    <row r="422" spans="1:20">
      <c r="A422" t="s">
        <v>643</v>
      </c>
      <c r="B422" s="2">
        <v>45683</v>
      </c>
      <c r="C422" t="s">
        <v>215</v>
      </c>
      <c r="D422" t="s">
        <v>216</v>
      </c>
      <c r="E422" t="s">
        <v>121</v>
      </c>
      <c r="F422" t="s">
        <v>44</v>
      </c>
      <c r="G422" t="s">
        <v>122</v>
      </c>
      <c r="H422" t="s">
        <v>59</v>
      </c>
      <c r="I422" t="s">
        <v>81</v>
      </c>
      <c r="J422" t="s">
        <v>82</v>
      </c>
      <c r="K422">
        <v>3</v>
      </c>
      <c r="L422">
        <v>17550</v>
      </c>
      <c r="M422" s="7">
        <v>0.1</v>
      </c>
      <c r="N422">
        <v>3855.23</v>
      </c>
      <c r="O422" t="s">
        <v>71</v>
      </c>
      <c r="P422">
        <f t="shared" si="30"/>
        <v>2025</v>
      </c>
      <c r="Q422" t="str">
        <f t="shared" si="31"/>
        <v>Jan</v>
      </c>
      <c r="R422" s="3">
        <f t="shared" si="32"/>
        <v>0.21967122507122508</v>
      </c>
      <c r="S422" t="str">
        <f t="shared" si="33"/>
        <v>Low</v>
      </c>
      <c r="T422">
        <f t="shared" si="34"/>
        <v>1</v>
      </c>
    </row>
    <row r="423" spans="1:20">
      <c r="A423" t="s">
        <v>644</v>
      </c>
      <c r="B423" s="2">
        <v>45939</v>
      </c>
      <c r="C423" t="s">
        <v>235</v>
      </c>
      <c r="D423" t="s">
        <v>236</v>
      </c>
      <c r="E423" t="s">
        <v>121</v>
      </c>
      <c r="F423" t="s">
        <v>44</v>
      </c>
      <c r="G423" t="s">
        <v>122</v>
      </c>
      <c r="H423" t="s">
        <v>59</v>
      </c>
      <c r="I423" t="s">
        <v>81</v>
      </c>
      <c r="J423" t="s">
        <v>82</v>
      </c>
      <c r="K423">
        <v>2</v>
      </c>
      <c r="L423">
        <v>13000</v>
      </c>
      <c r="M423" s="7">
        <v>0</v>
      </c>
      <c r="N423">
        <v>2241.31</v>
      </c>
      <c r="O423" t="s">
        <v>39</v>
      </c>
      <c r="P423">
        <f t="shared" si="30"/>
        <v>2025</v>
      </c>
      <c r="Q423" t="str">
        <f t="shared" si="31"/>
        <v>Oct</v>
      </c>
      <c r="R423" s="3">
        <f t="shared" si="32"/>
        <v>0.17240846153846154</v>
      </c>
      <c r="S423" t="str">
        <f t="shared" si="33"/>
        <v>Low</v>
      </c>
      <c r="T423">
        <f t="shared" si="34"/>
        <v>10</v>
      </c>
    </row>
    <row r="424" spans="1:20">
      <c r="A424" t="s">
        <v>645</v>
      </c>
      <c r="B424" s="2">
        <v>45689</v>
      </c>
      <c r="C424" t="s">
        <v>322</v>
      </c>
      <c r="D424" t="s">
        <v>323</v>
      </c>
      <c r="E424" t="s">
        <v>34</v>
      </c>
      <c r="F424" t="s">
        <v>25</v>
      </c>
      <c r="G424" t="s">
        <v>35</v>
      </c>
      <c r="H424" t="s">
        <v>27</v>
      </c>
      <c r="I424" t="s">
        <v>65</v>
      </c>
      <c r="J424" t="s">
        <v>66</v>
      </c>
      <c r="K424">
        <v>2</v>
      </c>
      <c r="L424">
        <v>104500</v>
      </c>
      <c r="M424" s="7">
        <v>0.05</v>
      </c>
      <c r="N424">
        <v>10932.72</v>
      </c>
      <c r="O424" t="s">
        <v>83</v>
      </c>
      <c r="P424">
        <f t="shared" si="30"/>
        <v>2025</v>
      </c>
      <c r="Q424" t="str">
        <f t="shared" si="31"/>
        <v>Feb</v>
      </c>
      <c r="R424" s="3">
        <f t="shared" si="32"/>
        <v>0.10461933014354066</v>
      </c>
      <c r="S424" t="str">
        <f t="shared" si="33"/>
        <v>High</v>
      </c>
      <c r="T424">
        <f t="shared" si="34"/>
        <v>2</v>
      </c>
    </row>
    <row r="425" spans="1:20">
      <c r="A425" t="s">
        <v>646</v>
      </c>
      <c r="B425" s="2">
        <v>45790</v>
      </c>
      <c r="C425" t="s">
        <v>73</v>
      </c>
      <c r="D425" t="s">
        <v>74</v>
      </c>
      <c r="E425" t="s">
        <v>75</v>
      </c>
      <c r="F425" t="s">
        <v>76</v>
      </c>
      <c r="G425" t="s">
        <v>77</v>
      </c>
      <c r="H425" t="s">
        <v>27</v>
      </c>
      <c r="I425" t="s">
        <v>46</v>
      </c>
      <c r="J425" t="s">
        <v>46</v>
      </c>
      <c r="K425">
        <v>1</v>
      </c>
      <c r="L425">
        <v>180</v>
      </c>
      <c r="M425" s="7">
        <v>0</v>
      </c>
      <c r="N425">
        <v>50.3</v>
      </c>
      <c r="O425" t="s">
        <v>71</v>
      </c>
      <c r="P425">
        <f t="shared" si="30"/>
        <v>2025</v>
      </c>
      <c r="Q425" t="str">
        <f t="shared" si="31"/>
        <v>May</v>
      </c>
      <c r="R425" s="3">
        <f t="shared" si="32"/>
        <v>0.27944444444444444</v>
      </c>
      <c r="S425" t="str">
        <f t="shared" si="33"/>
        <v>Low</v>
      </c>
      <c r="T425">
        <f t="shared" si="34"/>
        <v>5</v>
      </c>
    </row>
    <row r="426" spans="1:20">
      <c r="A426" t="s">
        <v>647</v>
      </c>
      <c r="B426" s="2">
        <v>45827</v>
      </c>
      <c r="C426" t="s">
        <v>93</v>
      </c>
      <c r="D426" t="s">
        <v>94</v>
      </c>
      <c r="E426" t="s">
        <v>70</v>
      </c>
      <c r="F426" t="s">
        <v>25</v>
      </c>
      <c r="G426" t="s">
        <v>26</v>
      </c>
      <c r="H426" t="s">
        <v>59</v>
      </c>
      <c r="I426" t="s">
        <v>96</v>
      </c>
      <c r="J426" t="s">
        <v>61</v>
      </c>
      <c r="K426">
        <v>1</v>
      </c>
      <c r="L426">
        <v>1200</v>
      </c>
      <c r="M426" s="7">
        <v>0</v>
      </c>
      <c r="N426">
        <v>322.14999999999998</v>
      </c>
      <c r="O426" t="s">
        <v>30</v>
      </c>
      <c r="P426">
        <f t="shared" si="30"/>
        <v>2025</v>
      </c>
      <c r="Q426" t="str">
        <f t="shared" si="31"/>
        <v>Jun</v>
      </c>
      <c r="R426" s="3">
        <f t="shared" si="32"/>
        <v>0.2684583333333333</v>
      </c>
      <c r="S426" t="str">
        <f t="shared" si="33"/>
        <v>Low</v>
      </c>
      <c r="T426">
        <f t="shared" si="34"/>
        <v>6</v>
      </c>
    </row>
    <row r="427" spans="1:20">
      <c r="A427" t="s">
        <v>648</v>
      </c>
      <c r="B427" s="2">
        <v>45860</v>
      </c>
      <c r="C427" t="s">
        <v>221</v>
      </c>
      <c r="D427" t="s">
        <v>222</v>
      </c>
      <c r="E427" t="s">
        <v>142</v>
      </c>
      <c r="F427" t="s">
        <v>25</v>
      </c>
      <c r="G427" t="s">
        <v>143</v>
      </c>
      <c r="H427" t="s">
        <v>127</v>
      </c>
      <c r="I427" t="s">
        <v>128</v>
      </c>
      <c r="J427" t="s">
        <v>129</v>
      </c>
      <c r="K427">
        <v>4</v>
      </c>
      <c r="L427">
        <v>46000</v>
      </c>
      <c r="M427" s="7">
        <v>0</v>
      </c>
      <c r="N427">
        <v>7201.11</v>
      </c>
      <c r="O427" t="s">
        <v>91</v>
      </c>
      <c r="P427">
        <f t="shared" si="30"/>
        <v>2025</v>
      </c>
      <c r="Q427" t="str">
        <f t="shared" si="31"/>
        <v>Jul</v>
      </c>
      <c r="R427" s="3">
        <f t="shared" si="32"/>
        <v>0.15654586956521738</v>
      </c>
      <c r="S427" t="str">
        <f t="shared" si="33"/>
        <v>High</v>
      </c>
      <c r="T427">
        <f t="shared" si="34"/>
        <v>7</v>
      </c>
    </row>
    <row r="428" spans="1:20">
      <c r="A428" t="s">
        <v>649</v>
      </c>
      <c r="B428" s="2">
        <v>45753</v>
      </c>
      <c r="C428" t="s">
        <v>189</v>
      </c>
      <c r="D428" t="s">
        <v>190</v>
      </c>
      <c r="E428" t="s">
        <v>95</v>
      </c>
      <c r="F428" t="s">
        <v>25</v>
      </c>
      <c r="G428" t="s">
        <v>26</v>
      </c>
      <c r="H428" t="s">
        <v>36</v>
      </c>
      <c r="I428" t="s">
        <v>115</v>
      </c>
      <c r="J428" t="s">
        <v>116</v>
      </c>
      <c r="K428">
        <v>3</v>
      </c>
      <c r="L428">
        <v>1215</v>
      </c>
      <c r="M428" s="7">
        <v>0.1</v>
      </c>
      <c r="N428">
        <v>176.77</v>
      </c>
      <c r="O428" t="s">
        <v>30</v>
      </c>
      <c r="P428">
        <f t="shared" si="30"/>
        <v>2025</v>
      </c>
      <c r="Q428" t="str">
        <f t="shared" si="31"/>
        <v>Apr</v>
      </c>
      <c r="R428" s="3">
        <f t="shared" si="32"/>
        <v>0.14548971193415638</v>
      </c>
      <c r="S428" t="str">
        <f t="shared" si="33"/>
        <v>Low</v>
      </c>
      <c r="T428">
        <f t="shared" si="34"/>
        <v>4</v>
      </c>
    </row>
    <row r="429" spans="1:20">
      <c r="A429" t="s">
        <v>650</v>
      </c>
      <c r="B429" s="2">
        <v>45783</v>
      </c>
      <c r="C429" t="s">
        <v>131</v>
      </c>
      <c r="D429" t="s">
        <v>132</v>
      </c>
      <c r="E429" t="s">
        <v>75</v>
      </c>
      <c r="F429" t="s">
        <v>76</v>
      </c>
      <c r="G429" t="s">
        <v>77</v>
      </c>
      <c r="H429" t="s">
        <v>36</v>
      </c>
      <c r="I429" t="s">
        <v>89</v>
      </c>
      <c r="J429" t="s">
        <v>90</v>
      </c>
      <c r="K429">
        <v>3</v>
      </c>
      <c r="L429">
        <v>459</v>
      </c>
      <c r="M429" s="7">
        <v>0.15</v>
      </c>
      <c r="N429">
        <v>51.29</v>
      </c>
      <c r="O429" t="s">
        <v>83</v>
      </c>
      <c r="P429">
        <f t="shared" si="30"/>
        <v>2025</v>
      </c>
      <c r="Q429" t="str">
        <f t="shared" si="31"/>
        <v>May</v>
      </c>
      <c r="R429" s="3">
        <f t="shared" si="32"/>
        <v>0.11174291938997821</v>
      </c>
      <c r="S429" t="str">
        <f t="shared" si="33"/>
        <v>Low</v>
      </c>
      <c r="T429">
        <f t="shared" si="34"/>
        <v>5</v>
      </c>
    </row>
    <row r="430" spans="1:20">
      <c r="A430" t="s">
        <v>651</v>
      </c>
      <c r="B430" s="2">
        <v>45854</v>
      </c>
      <c r="C430" t="s">
        <v>399</v>
      </c>
      <c r="D430" t="s">
        <v>400</v>
      </c>
      <c r="E430" t="s">
        <v>103</v>
      </c>
      <c r="F430" t="s">
        <v>25</v>
      </c>
      <c r="G430" t="s">
        <v>104</v>
      </c>
      <c r="H430" t="s">
        <v>36</v>
      </c>
      <c r="I430" t="s">
        <v>37</v>
      </c>
      <c r="J430" t="s">
        <v>38</v>
      </c>
      <c r="K430">
        <v>2</v>
      </c>
      <c r="L430">
        <v>47600</v>
      </c>
      <c r="M430" s="7">
        <v>0.15</v>
      </c>
      <c r="N430">
        <v>2699.73</v>
      </c>
      <c r="O430" t="s">
        <v>30</v>
      </c>
      <c r="P430">
        <f t="shared" si="30"/>
        <v>2025</v>
      </c>
      <c r="Q430" t="str">
        <f t="shared" si="31"/>
        <v>Jul</v>
      </c>
      <c r="R430" s="3">
        <f t="shared" si="32"/>
        <v>5.6717016806722691E-2</v>
      </c>
      <c r="S430" t="str">
        <f t="shared" si="33"/>
        <v>High</v>
      </c>
      <c r="T430">
        <f t="shared" si="34"/>
        <v>7</v>
      </c>
    </row>
    <row r="431" spans="1:20">
      <c r="A431" t="s">
        <v>652</v>
      </c>
      <c r="B431" s="2">
        <v>45936</v>
      </c>
      <c r="C431" t="s">
        <v>427</v>
      </c>
      <c r="D431" t="s">
        <v>428</v>
      </c>
      <c r="E431" t="s">
        <v>147</v>
      </c>
      <c r="F431" t="s">
        <v>76</v>
      </c>
      <c r="G431" t="s">
        <v>77</v>
      </c>
      <c r="H431" t="s">
        <v>27</v>
      </c>
      <c r="I431" t="s">
        <v>65</v>
      </c>
      <c r="J431" t="s">
        <v>66</v>
      </c>
      <c r="K431">
        <v>1</v>
      </c>
      <c r="L431">
        <v>212.5</v>
      </c>
      <c r="M431" s="7">
        <v>0.15</v>
      </c>
      <c r="N431">
        <v>40.99</v>
      </c>
      <c r="O431" t="s">
        <v>30</v>
      </c>
      <c r="P431">
        <f t="shared" si="30"/>
        <v>2025</v>
      </c>
      <c r="Q431" t="str">
        <f t="shared" si="31"/>
        <v>Oct</v>
      </c>
      <c r="R431" s="3">
        <f t="shared" si="32"/>
        <v>0.19289411764705883</v>
      </c>
      <c r="S431" t="str">
        <f t="shared" si="33"/>
        <v>Low</v>
      </c>
      <c r="T431">
        <f t="shared" si="34"/>
        <v>10</v>
      </c>
    </row>
    <row r="432" spans="1:20">
      <c r="A432" t="s">
        <v>653</v>
      </c>
      <c r="B432" s="2">
        <v>45947</v>
      </c>
      <c r="C432" t="s">
        <v>51</v>
      </c>
      <c r="D432" t="s">
        <v>52</v>
      </c>
      <c r="E432" t="s">
        <v>160</v>
      </c>
      <c r="F432" t="s">
        <v>25</v>
      </c>
      <c r="G432" t="s">
        <v>161</v>
      </c>
      <c r="H432" t="s">
        <v>36</v>
      </c>
      <c r="I432" t="s">
        <v>37</v>
      </c>
      <c r="J432" t="s">
        <v>38</v>
      </c>
      <c r="K432">
        <v>5</v>
      </c>
      <c r="L432">
        <v>14400</v>
      </c>
      <c r="M432" s="7">
        <v>0.1</v>
      </c>
      <c r="N432">
        <v>1917.8</v>
      </c>
      <c r="O432" t="s">
        <v>91</v>
      </c>
      <c r="P432">
        <f t="shared" si="30"/>
        <v>2025</v>
      </c>
      <c r="Q432" t="str">
        <f t="shared" si="31"/>
        <v>Oct</v>
      </c>
      <c r="R432" s="3">
        <f t="shared" si="32"/>
        <v>0.13318055555555555</v>
      </c>
      <c r="S432" t="str">
        <f t="shared" si="33"/>
        <v>Low</v>
      </c>
      <c r="T432">
        <f t="shared" si="34"/>
        <v>10</v>
      </c>
    </row>
    <row r="433" spans="1:20">
      <c r="A433" t="s">
        <v>654</v>
      </c>
      <c r="B433" s="2">
        <v>45673</v>
      </c>
      <c r="C433" t="s">
        <v>155</v>
      </c>
      <c r="D433" t="s">
        <v>99</v>
      </c>
      <c r="E433" t="s">
        <v>126</v>
      </c>
      <c r="F433" t="s">
        <v>25</v>
      </c>
      <c r="G433" t="s">
        <v>35</v>
      </c>
      <c r="H433" t="s">
        <v>36</v>
      </c>
      <c r="I433" t="s">
        <v>115</v>
      </c>
      <c r="J433" t="s">
        <v>116</v>
      </c>
      <c r="K433">
        <v>3</v>
      </c>
      <c r="L433">
        <v>43500</v>
      </c>
      <c r="M433" s="7">
        <v>0</v>
      </c>
      <c r="N433">
        <v>10515.29</v>
      </c>
      <c r="O433" t="s">
        <v>91</v>
      </c>
      <c r="P433">
        <f t="shared" si="30"/>
        <v>2025</v>
      </c>
      <c r="Q433" t="str">
        <f t="shared" si="31"/>
        <v>Jan</v>
      </c>
      <c r="R433" s="3">
        <f t="shared" si="32"/>
        <v>0.24173080459770116</v>
      </c>
      <c r="S433" t="str">
        <f t="shared" si="33"/>
        <v>High</v>
      </c>
      <c r="T433">
        <f t="shared" si="34"/>
        <v>1</v>
      </c>
    </row>
    <row r="434" spans="1:20">
      <c r="A434" t="s">
        <v>655</v>
      </c>
      <c r="B434" s="2">
        <v>45739</v>
      </c>
      <c r="C434" t="s">
        <v>73</v>
      </c>
      <c r="D434" t="s">
        <v>74</v>
      </c>
      <c r="E434" t="s">
        <v>126</v>
      </c>
      <c r="F434" t="s">
        <v>25</v>
      </c>
      <c r="G434" t="s">
        <v>35</v>
      </c>
      <c r="H434" t="s">
        <v>27</v>
      </c>
      <c r="I434" t="s">
        <v>46</v>
      </c>
      <c r="J434" t="s">
        <v>46</v>
      </c>
      <c r="K434">
        <v>1</v>
      </c>
      <c r="L434">
        <v>13775</v>
      </c>
      <c r="M434" s="7">
        <v>0.05</v>
      </c>
      <c r="N434">
        <v>2728.02</v>
      </c>
      <c r="O434" t="s">
        <v>83</v>
      </c>
      <c r="P434">
        <f t="shared" si="30"/>
        <v>2025</v>
      </c>
      <c r="Q434" t="str">
        <f t="shared" si="31"/>
        <v>Mar</v>
      </c>
      <c r="R434" s="3">
        <f t="shared" si="32"/>
        <v>0.19804137931034482</v>
      </c>
      <c r="S434" t="str">
        <f t="shared" si="33"/>
        <v>Low</v>
      </c>
      <c r="T434">
        <f t="shared" si="34"/>
        <v>3</v>
      </c>
    </row>
    <row r="435" spans="1:20">
      <c r="A435" t="s">
        <v>656</v>
      </c>
      <c r="B435" s="2">
        <v>45856</v>
      </c>
      <c r="C435" t="s">
        <v>312</v>
      </c>
      <c r="D435" t="s">
        <v>313</v>
      </c>
      <c r="E435" t="s">
        <v>75</v>
      </c>
      <c r="F435" t="s">
        <v>76</v>
      </c>
      <c r="G435" t="s">
        <v>77</v>
      </c>
      <c r="H435" t="s">
        <v>27</v>
      </c>
      <c r="I435" t="s">
        <v>46</v>
      </c>
      <c r="J435" t="s">
        <v>46</v>
      </c>
      <c r="K435">
        <v>3</v>
      </c>
      <c r="L435">
        <v>378</v>
      </c>
      <c r="M435" s="7">
        <v>0.3</v>
      </c>
      <c r="N435">
        <v>77.599999999999994</v>
      </c>
      <c r="O435" t="s">
        <v>39</v>
      </c>
      <c r="P435">
        <f t="shared" si="30"/>
        <v>2025</v>
      </c>
      <c r="Q435" t="str">
        <f t="shared" si="31"/>
        <v>Jul</v>
      </c>
      <c r="R435" s="3">
        <f t="shared" si="32"/>
        <v>0.20529100529100527</v>
      </c>
      <c r="S435" t="str">
        <f t="shared" si="33"/>
        <v>Low</v>
      </c>
      <c r="T435">
        <f t="shared" si="34"/>
        <v>7</v>
      </c>
    </row>
    <row r="436" spans="1:20">
      <c r="A436" t="s">
        <v>657</v>
      </c>
      <c r="B436" s="2">
        <v>46015</v>
      </c>
      <c r="C436" t="s">
        <v>438</v>
      </c>
      <c r="D436" t="s">
        <v>439</v>
      </c>
      <c r="E436" t="s">
        <v>160</v>
      </c>
      <c r="F436" t="s">
        <v>25</v>
      </c>
      <c r="G436" t="s">
        <v>161</v>
      </c>
      <c r="H436" t="s">
        <v>127</v>
      </c>
      <c r="I436" t="s">
        <v>128</v>
      </c>
      <c r="J436" t="s">
        <v>129</v>
      </c>
      <c r="K436">
        <v>3</v>
      </c>
      <c r="L436">
        <v>7680</v>
      </c>
      <c r="M436" s="7">
        <v>0.2</v>
      </c>
      <c r="N436">
        <v>81.510000000000005</v>
      </c>
      <c r="O436" t="s">
        <v>30</v>
      </c>
      <c r="P436">
        <f t="shared" si="30"/>
        <v>2025</v>
      </c>
      <c r="Q436" t="str">
        <f t="shared" si="31"/>
        <v>Dec</v>
      </c>
      <c r="R436" s="3">
        <f t="shared" si="32"/>
        <v>1.061328125E-2</v>
      </c>
      <c r="S436" t="str">
        <f t="shared" si="33"/>
        <v>Low</v>
      </c>
      <c r="T436">
        <f t="shared" si="34"/>
        <v>12</v>
      </c>
    </row>
    <row r="437" spans="1:20">
      <c r="A437" t="s">
        <v>658</v>
      </c>
      <c r="B437" s="2">
        <v>45946</v>
      </c>
      <c r="C437" t="s">
        <v>211</v>
      </c>
      <c r="D437" t="s">
        <v>212</v>
      </c>
      <c r="E437" t="s">
        <v>24</v>
      </c>
      <c r="F437" t="s">
        <v>25</v>
      </c>
      <c r="G437" t="s">
        <v>26</v>
      </c>
      <c r="H437" t="s">
        <v>127</v>
      </c>
      <c r="I437" t="s">
        <v>128</v>
      </c>
      <c r="J437" t="s">
        <v>129</v>
      </c>
      <c r="K437">
        <v>2</v>
      </c>
      <c r="L437">
        <v>2520</v>
      </c>
      <c r="M437" s="7">
        <v>0.3</v>
      </c>
      <c r="N437">
        <v>381.73</v>
      </c>
      <c r="O437" t="s">
        <v>71</v>
      </c>
      <c r="P437">
        <f t="shared" si="30"/>
        <v>2025</v>
      </c>
      <c r="Q437" t="str">
        <f t="shared" si="31"/>
        <v>Oct</v>
      </c>
      <c r="R437" s="3">
        <f t="shared" si="32"/>
        <v>0.15148015873015874</v>
      </c>
      <c r="S437" t="str">
        <f t="shared" si="33"/>
        <v>Low</v>
      </c>
      <c r="T437">
        <f t="shared" si="34"/>
        <v>10</v>
      </c>
    </row>
    <row r="438" spans="1:20">
      <c r="A438" t="s">
        <v>659</v>
      </c>
      <c r="B438" s="2">
        <v>45747</v>
      </c>
      <c r="C438" t="s">
        <v>198</v>
      </c>
      <c r="D438" t="s">
        <v>199</v>
      </c>
      <c r="E438" t="s">
        <v>103</v>
      </c>
      <c r="F438" t="s">
        <v>25</v>
      </c>
      <c r="G438" t="s">
        <v>104</v>
      </c>
      <c r="H438" t="s">
        <v>59</v>
      </c>
      <c r="I438" t="s">
        <v>96</v>
      </c>
      <c r="J438" t="s">
        <v>61</v>
      </c>
      <c r="K438">
        <v>4</v>
      </c>
      <c r="L438">
        <v>112000</v>
      </c>
      <c r="M438" s="7">
        <v>0</v>
      </c>
      <c r="N438">
        <v>10981.77</v>
      </c>
      <c r="O438" t="s">
        <v>39</v>
      </c>
      <c r="P438">
        <f t="shared" si="30"/>
        <v>2025</v>
      </c>
      <c r="Q438" t="str">
        <f t="shared" si="31"/>
        <v>Mar</v>
      </c>
      <c r="R438" s="3">
        <f t="shared" si="32"/>
        <v>9.8051517857142861E-2</v>
      </c>
      <c r="S438" t="str">
        <f t="shared" si="33"/>
        <v>High</v>
      </c>
      <c r="T438">
        <f t="shared" si="34"/>
        <v>3</v>
      </c>
    </row>
    <row r="439" spans="1:20">
      <c r="A439" t="s">
        <v>660</v>
      </c>
      <c r="B439" s="2">
        <v>45902</v>
      </c>
      <c r="C439" t="s">
        <v>309</v>
      </c>
      <c r="D439" t="s">
        <v>231</v>
      </c>
      <c r="E439" t="s">
        <v>121</v>
      </c>
      <c r="F439" t="s">
        <v>44</v>
      </c>
      <c r="G439" t="s">
        <v>122</v>
      </c>
      <c r="H439" t="s">
        <v>36</v>
      </c>
      <c r="I439" t="s">
        <v>37</v>
      </c>
      <c r="J439" t="s">
        <v>38</v>
      </c>
      <c r="K439">
        <v>1</v>
      </c>
      <c r="L439">
        <v>5850</v>
      </c>
      <c r="M439" s="7">
        <v>0.1</v>
      </c>
      <c r="N439">
        <v>1395.47</v>
      </c>
      <c r="O439" t="s">
        <v>39</v>
      </c>
      <c r="P439">
        <f t="shared" si="30"/>
        <v>2025</v>
      </c>
      <c r="Q439" t="str">
        <f t="shared" si="31"/>
        <v>Sep</v>
      </c>
      <c r="R439" s="3">
        <f t="shared" si="32"/>
        <v>0.23854188034188034</v>
      </c>
      <c r="S439" t="str">
        <f t="shared" si="33"/>
        <v>Low</v>
      </c>
      <c r="T439">
        <f t="shared" si="34"/>
        <v>9</v>
      </c>
    </row>
    <row r="440" spans="1:20">
      <c r="A440" t="s">
        <v>661</v>
      </c>
      <c r="B440" s="2">
        <v>45748</v>
      </c>
      <c r="C440" t="s">
        <v>230</v>
      </c>
      <c r="D440" t="s">
        <v>231</v>
      </c>
      <c r="E440" t="s">
        <v>56</v>
      </c>
      <c r="F440" t="s">
        <v>57</v>
      </c>
      <c r="G440" t="s">
        <v>58</v>
      </c>
      <c r="H440" t="s">
        <v>59</v>
      </c>
      <c r="I440" t="s">
        <v>96</v>
      </c>
      <c r="J440" t="s">
        <v>61</v>
      </c>
      <c r="K440">
        <v>3</v>
      </c>
      <c r="L440">
        <v>4800</v>
      </c>
      <c r="M440" s="7">
        <v>0</v>
      </c>
      <c r="N440">
        <v>405.04</v>
      </c>
      <c r="O440" t="s">
        <v>39</v>
      </c>
      <c r="P440">
        <f t="shared" si="30"/>
        <v>2025</v>
      </c>
      <c r="Q440" t="str">
        <f t="shared" si="31"/>
        <v>Apr</v>
      </c>
      <c r="R440" s="3">
        <f t="shared" si="32"/>
        <v>8.4383333333333338E-2</v>
      </c>
      <c r="S440" t="str">
        <f t="shared" si="33"/>
        <v>Low</v>
      </c>
      <c r="T440">
        <f t="shared" si="34"/>
        <v>4</v>
      </c>
    </row>
    <row r="441" spans="1:20">
      <c r="A441" t="s">
        <v>662</v>
      </c>
      <c r="B441" s="2">
        <v>45927</v>
      </c>
      <c r="C441" t="s">
        <v>152</v>
      </c>
      <c r="D441" t="s">
        <v>153</v>
      </c>
      <c r="E441" t="s">
        <v>142</v>
      </c>
      <c r="F441" t="s">
        <v>25</v>
      </c>
      <c r="G441" t="s">
        <v>143</v>
      </c>
      <c r="H441" t="s">
        <v>127</v>
      </c>
      <c r="I441" t="s">
        <v>128</v>
      </c>
      <c r="J441" t="s">
        <v>129</v>
      </c>
      <c r="K441">
        <v>3</v>
      </c>
      <c r="L441">
        <v>34500</v>
      </c>
      <c r="M441" s="7">
        <v>0</v>
      </c>
      <c r="N441">
        <v>5337.78</v>
      </c>
      <c r="O441" t="s">
        <v>71</v>
      </c>
      <c r="P441">
        <f t="shared" si="30"/>
        <v>2025</v>
      </c>
      <c r="Q441" t="str">
        <f t="shared" si="31"/>
        <v>Sep</v>
      </c>
      <c r="R441" s="3">
        <f t="shared" si="32"/>
        <v>0.15471826086956522</v>
      </c>
      <c r="S441" t="str">
        <f t="shared" si="33"/>
        <v>High</v>
      </c>
      <c r="T441">
        <f t="shared" si="34"/>
        <v>9</v>
      </c>
    </row>
    <row r="442" spans="1:20">
      <c r="A442" t="s">
        <v>663</v>
      </c>
      <c r="B442" s="2">
        <v>45830</v>
      </c>
      <c r="C442" t="s">
        <v>438</v>
      </c>
      <c r="D442" t="s">
        <v>439</v>
      </c>
      <c r="E442" t="s">
        <v>70</v>
      </c>
      <c r="F442" t="s">
        <v>25</v>
      </c>
      <c r="G442" t="s">
        <v>26</v>
      </c>
      <c r="H442" t="s">
        <v>127</v>
      </c>
      <c r="I442" t="s">
        <v>128</v>
      </c>
      <c r="J442" t="s">
        <v>129</v>
      </c>
      <c r="K442">
        <v>3</v>
      </c>
      <c r="L442">
        <v>3240</v>
      </c>
      <c r="M442" s="7">
        <v>0.1</v>
      </c>
      <c r="N442">
        <v>270.06</v>
      </c>
      <c r="O442" t="s">
        <v>71</v>
      </c>
      <c r="P442">
        <f t="shared" si="30"/>
        <v>2025</v>
      </c>
      <c r="Q442" t="str">
        <f t="shared" si="31"/>
        <v>Jun</v>
      </c>
      <c r="R442" s="3">
        <f t="shared" si="32"/>
        <v>8.3351851851851858E-2</v>
      </c>
      <c r="S442" t="str">
        <f t="shared" si="33"/>
        <v>Low</v>
      </c>
      <c r="T442">
        <f t="shared" si="34"/>
        <v>6</v>
      </c>
    </row>
    <row r="443" spans="1:20">
      <c r="A443" t="s">
        <v>664</v>
      </c>
      <c r="B443" s="2">
        <v>45820</v>
      </c>
      <c r="C443" t="s">
        <v>51</v>
      </c>
      <c r="D443" t="s">
        <v>52</v>
      </c>
      <c r="E443" t="s">
        <v>147</v>
      </c>
      <c r="F443" t="s">
        <v>76</v>
      </c>
      <c r="G443" t="s">
        <v>77</v>
      </c>
      <c r="H443" t="s">
        <v>36</v>
      </c>
      <c r="I443" t="s">
        <v>37</v>
      </c>
      <c r="J443" t="s">
        <v>38</v>
      </c>
      <c r="K443">
        <v>2</v>
      </c>
      <c r="L443">
        <v>375</v>
      </c>
      <c r="M443" s="7">
        <v>0.25</v>
      </c>
      <c r="N443">
        <v>67.650000000000006</v>
      </c>
      <c r="O443" t="s">
        <v>30</v>
      </c>
      <c r="P443">
        <f t="shared" si="30"/>
        <v>2025</v>
      </c>
      <c r="Q443" t="str">
        <f t="shared" si="31"/>
        <v>Jun</v>
      </c>
      <c r="R443" s="3">
        <f t="shared" si="32"/>
        <v>0.1804</v>
      </c>
      <c r="S443" t="str">
        <f t="shared" si="33"/>
        <v>Low</v>
      </c>
      <c r="T443">
        <f t="shared" si="34"/>
        <v>6</v>
      </c>
    </row>
    <row r="444" spans="1:20">
      <c r="A444" t="s">
        <v>665</v>
      </c>
      <c r="B444" s="2">
        <v>45998</v>
      </c>
      <c r="C444" t="s">
        <v>124</v>
      </c>
      <c r="D444" t="s">
        <v>125</v>
      </c>
      <c r="E444" t="s">
        <v>126</v>
      </c>
      <c r="F444" t="s">
        <v>25</v>
      </c>
      <c r="G444" t="s">
        <v>35</v>
      </c>
      <c r="H444" t="s">
        <v>127</v>
      </c>
      <c r="I444" t="s">
        <v>128</v>
      </c>
      <c r="J444" t="s">
        <v>129</v>
      </c>
      <c r="K444">
        <v>5</v>
      </c>
      <c r="L444">
        <v>50750</v>
      </c>
      <c r="M444" s="7">
        <v>0.3</v>
      </c>
      <c r="N444">
        <v>1626.97</v>
      </c>
      <c r="O444" t="s">
        <v>91</v>
      </c>
      <c r="P444">
        <f t="shared" si="30"/>
        <v>2025</v>
      </c>
      <c r="Q444" t="str">
        <f t="shared" si="31"/>
        <v>Dec</v>
      </c>
      <c r="R444" s="3">
        <f t="shared" si="32"/>
        <v>3.2058522167487682E-2</v>
      </c>
      <c r="S444" t="str">
        <f t="shared" si="33"/>
        <v>High</v>
      </c>
      <c r="T444">
        <f t="shared" si="34"/>
        <v>12</v>
      </c>
    </row>
    <row r="445" spans="1:20">
      <c r="A445" t="s">
        <v>666</v>
      </c>
      <c r="B445" s="2">
        <v>45658</v>
      </c>
      <c r="C445" t="s">
        <v>93</v>
      </c>
      <c r="D445" t="s">
        <v>94</v>
      </c>
      <c r="E445" t="s">
        <v>24</v>
      </c>
      <c r="F445" t="s">
        <v>25</v>
      </c>
      <c r="G445" t="s">
        <v>26</v>
      </c>
      <c r="H445" t="s">
        <v>59</v>
      </c>
      <c r="I445" t="s">
        <v>96</v>
      </c>
      <c r="J445" t="s">
        <v>61</v>
      </c>
      <c r="K445">
        <v>5</v>
      </c>
      <c r="L445">
        <v>7650</v>
      </c>
      <c r="M445" s="7">
        <v>0.15</v>
      </c>
      <c r="N445">
        <v>1463.03</v>
      </c>
      <c r="O445" t="s">
        <v>30</v>
      </c>
      <c r="P445">
        <f t="shared" si="30"/>
        <v>2025</v>
      </c>
      <c r="Q445" t="str">
        <f t="shared" si="31"/>
        <v>Jan</v>
      </c>
      <c r="R445" s="3">
        <f t="shared" si="32"/>
        <v>0.19124575163398694</v>
      </c>
      <c r="S445" t="str">
        <f t="shared" si="33"/>
        <v>Low</v>
      </c>
      <c r="T445">
        <f t="shared" si="34"/>
        <v>1</v>
      </c>
    </row>
    <row r="446" spans="1:20">
      <c r="A446" t="s">
        <v>667</v>
      </c>
      <c r="B446" s="2">
        <v>45966</v>
      </c>
      <c r="C446" t="s">
        <v>467</v>
      </c>
      <c r="D446" t="s">
        <v>468</v>
      </c>
      <c r="E446" t="s">
        <v>24</v>
      </c>
      <c r="F446" t="s">
        <v>25</v>
      </c>
      <c r="G446" t="s">
        <v>26</v>
      </c>
      <c r="H446" t="s">
        <v>59</v>
      </c>
      <c r="I446" t="s">
        <v>60</v>
      </c>
      <c r="J446" t="s">
        <v>61</v>
      </c>
      <c r="K446">
        <v>3</v>
      </c>
      <c r="L446">
        <v>3780</v>
      </c>
      <c r="M446" s="7">
        <v>0.3</v>
      </c>
      <c r="N446">
        <v>744.43</v>
      </c>
      <c r="O446" t="s">
        <v>30</v>
      </c>
      <c r="P446">
        <f t="shared" si="30"/>
        <v>2025</v>
      </c>
      <c r="Q446" t="str">
        <f t="shared" si="31"/>
        <v>Nov</v>
      </c>
      <c r="R446" s="3">
        <f t="shared" si="32"/>
        <v>0.19693915343915341</v>
      </c>
      <c r="S446" t="str">
        <f t="shared" si="33"/>
        <v>Low</v>
      </c>
      <c r="T446">
        <f t="shared" si="34"/>
        <v>11</v>
      </c>
    </row>
    <row r="447" spans="1:20">
      <c r="A447" t="s">
        <v>668</v>
      </c>
      <c r="B447" s="2">
        <v>45912</v>
      </c>
      <c r="C447" t="s">
        <v>270</v>
      </c>
      <c r="D447" t="s">
        <v>271</v>
      </c>
      <c r="E447" t="s">
        <v>95</v>
      </c>
      <c r="F447" t="s">
        <v>25</v>
      </c>
      <c r="G447" t="s">
        <v>26</v>
      </c>
      <c r="H447" t="s">
        <v>27</v>
      </c>
      <c r="I447" t="s">
        <v>28</v>
      </c>
      <c r="J447" t="s">
        <v>29</v>
      </c>
      <c r="K447">
        <v>2</v>
      </c>
      <c r="L447">
        <v>810</v>
      </c>
      <c r="M447" s="7">
        <v>0.1</v>
      </c>
      <c r="N447">
        <v>164.53</v>
      </c>
      <c r="O447" t="s">
        <v>91</v>
      </c>
      <c r="P447">
        <f t="shared" si="30"/>
        <v>2025</v>
      </c>
      <c r="Q447" t="str">
        <f t="shared" si="31"/>
        <v>Sep</v>
      </c>
      <c r="R447" s="3">
        <f t="shared" si="32"/>
        <v>0.20312345679012345</v>
      </c>
      <c r="S447" t="str">
        <f t="shared" si="33"/>
        <v>Low</v>
      </c>
      <c r="T447">
        <f t="shared" si="34"/>
        <v>9</v>
      </c>
    </row>
    <row r="448" spans="1:20">
      <c r="A448" t="s">
        <v>669</v>
      </c>
      <c r="B448" s="2">
        <v>45703</v>
      </c>
      <c r="C448" t="s">
        <v>41</v>
      </c>
      <c r="D448" t="s">
        <v>42</v>
      </c>
      <c r="E448" t="s">
        <v>147</v>
      </c>
      <c r="F448" t="s">
        <v>76</v>
      </c>
      <c r="G448" t="s">
        <v>77</v>
      </c>
      <c r="H448" t="s">
        <v>27</v>
      </c>
      <c r="I448" t="s">
        <v>46</v>
      </c>
      <c r="J448" t="s">
        <v>46</v>
      </c>
      <c r="K448">
        <v>3</v>
      </c>
      <c r="L448">
        <v>637.5</v>
      </c>
      <c r="M448" s="7">
        <v>0.15</v>
      </c>
      <c r="N448">
        <v>28.32</v>
      </c>
      <c r="O448" t="s">
        <v>83</v>
      </c>
      <c r="P448">
        <f t="shared" si="30"/>
        <v>2025</v>
      </c>
      <c r="Q448" t="str">
        <f t="shared" si="31"/>
        <v>Feb</v>
      </c>
      <c r="R448" s="3">
        <f t="shared" si="32"/>
        <v>4.4423529411764709E-2</v>
      </c>
      <c r="S448" t="str">
        <f t="shared" si="33"/>
        <v>Low</v>
      </c>
      <c r="T448">
        <f t="shared" si="34"/>
        <v>2</v>
      </c>
    </row>
    <row r="449" spans="1:20">
      <c r="A449" t="s">
        <v>670</v>
      </c>
      <c r="B449" s="2">
        <v>45713</v>
      </c>
      <c r="C449" t="s">
        <v>149</v>
      </c>
      <c r="D449" t="s">
        <v>150</v>
      </c>
      <c r="E449" t="s">
        <v>103</v>
      </c>
      <c r="F449" t="s">
        <v>25</v>
      </c>
      <c r="G449" t="s">
        <v>104</v>
      </c>
      <c r="H449" t="s">
        <v>59</v>
      </c>
      <c r="I449" t="s">
        <v>96</v>
      </c>
      <c r="J449" t="s">
        <v>61</v>
      </c>
      <c r="K449">
        <v>1</v>
      </c>
      <c r="L449">
        <v>28000</v>
      </c>
      <c r="M449" s="7">
        <v>0</v>
      </c>
      <c r="N449">
        <v>4401.25</v>
      </c>
      <c r="O449" t="s">
        <v>39</v>
      </c>
      <c r="P449">
        <f t="shared" si="30"/>
        <v>2025</v>
      </c>
      <c r="Q449" t="str">
        <f t="shared" si="31"/>
        <v>Feb</v>
      </c>
      <c r="R449" s="3">
        <f t="shared" si="32"/>
        <v>0.15718750000000001</v>
      </c>
      <c r="S449" t="str">
        <f t="shared" si="33"/>
        <v>Low</v>
      </c>
      <c r="T449">
        <f t="shared" si="34"/>
        <v>2</v>
      </c>
    </row>
    <row r="450" spans="1:20">
      <c r="A450" t="s">
        <v>671</v>
      </c>
      <c r="B450" s="2">
        <v>45851</v>
      </c>
      <c r="C450" t="s">
        <v>134</v>
      </c>
      <c r="D450" t="s">
        <v>135</v>
      </c>
      <c r="E450" t="s">
        <v>87</v>
      </c>
      <c r="F450" t="s">
        <v>44</v>
      </c>
      <c r="G450" t="s">
        <v>88</v>
      </c>
      <c r="H450" t="s">
        <v>36</v>
      </c>
      <c r="I450" t="s">
        <v>37</v>
      </c>
      <c r="J450" t="s">
        <v>38</v>
      </c>
      <c r="K450">
        <v>3</v>
      </c>
      <c r="L450">
        <v>28800</v>
      </c>
      <c r="M450" s="7">
        <v>0.2</v>
      </c>
      <c r="N450">
        <v>2120.52</v>
      </c>
      <c r="O450" t="s">
        <v>30</v>
      </c>
      <c r="P450">
        <f t="shared" ref="P450:P501" si="35">YEAR(B450)</f>
        <v>2025</v>
      </c>
      <c r="Q450" t="str">
        <f t="shared" ref="Q450:Q501" si="36">TEXT(B450,"mmm")</f>
        <v>Jul</v>
      </c>
      <c r="R450" s="3">
        <f t="shared" ref="R450:R501" si="37">N450/L450</f>
        <v>7.3629166666666662E-2</v>
      </c>
      <c r="S450" t="str">
        <f t="shared" ref="S450:S501" si="38">IF(L450&gt;=30000,"High","Low")</f>
        <v>Low</v>
      </c>
      <c r="T450">
        <f t="shared" ref="T450:T501" si="39">MONTH(B450)</f>
        <v>7</v>
      </c>
    </row>
    <row r="451" spans="1:20">
      <c r="A451" t="s">
        <v>672</v>
      </c>
      <c r="B451" s="2">
        <v>45889</v>
      </c>
      <c r="C451" t="s">
        <v>312</v>
      </c>
      <c r="D451" t="s">
        <v>313</v>
      </c>
      <c r="E451" t="s">
        <v>24</v>
      </c>
      <c r="F451" t="s">
        <v>25</v>
      </c>
      <c r="G451" t="s">
        <v>26</v>
      </c>
      <c r="H451" t="s">
        <v>27</v>
      </c>
      <c r="I451" t="s">
        <v>46</v>
      </c>
      <c r="J451" t="s">
        <v>46</v>
      </c>
      <c r="K451">
        <v>1</v>
      </c>
      <c r="L451">
        <v>1260</v>
      </c>
      <c r="M451" s="7">
        <v>0.3</v>
      </c>
      <c r="N451">
        <v>210.46</v>
      </c>
      <c r="O451" t="s">
        <v>91</v>
      </c>
      <c r="P451">
        <f t="shared" si="35"/>
        <v>2025</v>
      </c>
      <c r="Q451" t="str">
        <f t="shared" si="36"/>
        <v>Aug</v>
      </c>
      <c r="R451" s="3">
        <f t="shared" si="37"/>
        <v>0.16703174603174603</v>
      </c>
      <c r="S451" t="str">
        <f t="shared" si="38"/>
        <v>Low</v>
      </c>
      <c r="T451">
        <f t="shared" si="39"/>
        <v>8</v>
      </c>
    </row>
    <row r="452" spans="1:20">
      <c r="A452" t="s">
        <v>673</v>
      </c>
      <c r="B452" s="2">
        <v>45695</v>
      </c>
      <c r="C452" t="s">
        <v>79</v>
      </c>
      <c r="D452" t="s">
        <v>80</v>
      </c>
      <c r="E452" t="s">
        <v>70</v>
      </c>
      <c r="F452" t="s">
        <v>25</v>
      </c>
      <c r="G452" t="s">
        <v>26</v>
      </c>
      <c r="H452" t="s">
        <v>59</v>
      </c>
      <c r="I452" t="s">
        <v>81</v>
      </c>
      <c r="J452" t="s">
        <v>82</v>
      </c>
      <c r="K452">
        <v>3</v>
      </c>
      <c r="L452">
        <v>3420</v>
      </c>
      <c r="M452" s="7">
        <v>0.05</v>
      </c>
      <c r="N452">
        <v>839.87</v>
      </c>
      <c r="O452" t="s">
        <v>83</v>
      </c>
      <c r="P452">
        <f t="shared" si="35"/>
        <v>2025</v>
      </c>
      <c r="Q452" t="str">
        <f t="shared" si="36"/>
        <v>Feb</v>
      </c>
      <c r="R452" s="3">
        <f t="shared" si="37"/>
        <v>0.24557602339181286</v>
      </c>
      <c r="S452" t="str">
        <f t="shared" si="38"/>
        <v>Low</v>
      </c>
      <c r="T452">
        <f t="shared" si="39"/>
        <v>2</v>
      </c>
    </row>
    <row r="453" spans="1:20">
      <c r="A453" t="s">
        <v>674</v>
      </c>
      <c r="B453" s="2">
        <v>45705</v>
      </c>
      <c r="C453" t="s">
        <v>273</v>
      </c>
      <c r="D453" t="s">
        <v>212</v>
      </c>
      <c r="E453" t="s">
        <v>95</v>
      </c>
      <c r="F453" t="s">
        <v>25</v>
      </c>
      <c r="G453" t="s">
        <v>26</v>
      </c>
      <c r="H453" t="s">
        <v>59</v>
      </c>
      <c r="I453" t="s">
        <v>81</v>
      </c>
      <c r="J453" t="s">
        <v>82</v>
      </c>
      <c r="K453">
        <v>3</v>
      </c>
      <c r="L453">
        <v>1080</v>
      </c>
      <c r="M453" s="7">
        <v>0.2</v>
      </c>
      <c r="N453">
        <v>207.79</v>
      </c>
      <c r="O453" t="s">
        <v>83</v>
      </c>
      <c r="P453">
        <f t="shared" si="35"/>
        <v>2025</v>
      </c>
      <c r="Q453" t="str">
        <f t="shared" si="36"/>
        <v>Feb</v>
      </c>
      <c r="R453" s="3">
        <f t="shared" si="37"/>
        <v>0.19239814814814815</v>
      </c>
      <c r="S453" t="str">
        <f t="shared" si="38"/>
        <v>Low</v>
      </c>
      <c r="T453">
        <f t="shared" si="39"/>
        <v>2</v>
      </c>
    </row>
    <row r="454" spans="1:20">
      <c r="A454" t="s">
        <v>675</v>
      </c>
      <c r="B454" s="2">
        <v>45742</v>
      </c>
      <c r="C454" t="s">
        <v>221</v>
      </c>
      <c r="D454" t="s">
        <v>222</v>
      </c>
      <c r="E454" t="s">
        <v>147</v>
      </c>
      <c r="F454" t="s">
        <v>76</v>
      </c>
      <c r="G454" t="s">
        <v>77</v>
      </c>
      <c r="H454" t="s">
        <v>127</v>
      </c>
      <c r="I454" t="s">
        <v>128</v>
      </c>
      <c r="J454" t="s">
        <v>129</v>
      </c>
      <c r="K454">
        <v>5</v>
      </c>
      <c r="L454">
        <v>1062.5</v>
      </c>
      <c r="M454" s="7">
        <v>0.15</v>
      </c>
      <c r="N454">
        <v>82.48</v>
      </c>
      <c r="O454" t="s">
        <v>39</v>
      </c>
      <c r="P454">
        <f t="shared" si="35"/>
        <v>2025</v>
      </c>
      <c r="Q454" t="str">
        <f t="shared" si="36"/>
        <v>Mar</v>
      </c>
      <c r="R454" s="3">
        <f t="shared" si="37"/>
        <v>7.7628235294117651E-2</v>
      </c>
      <c r="S454" t="str">
        <f t="shared" si="38"/>
        <v>Low</v>
      </c>
      <c r="T454">
        <f t="shared" si="39"/>
        <v>3</v>
      </c>
    </row>
    <row r="455" spans="1:20">
      <c r="A455" t="s">
        <v>676</v>
      </c>
      <c r="B455" s="2">
        <v>46014</v>
      </c>
      <c r="C455" t="s">
        <v>164</v>
      </c>
      <c r="D455" t="s">
        <v>165</v>
      </c>
      <c r="E455" t="s">
        <v>43</v>
      </c>
      <c r="F455" t="s">
        <v>44</v>
      </c>
      <c r="G455" t="s">
        <v>45</v>
      </c>
      <c r="H455" t="s">
        <v>59</v>
      </c>
      <c r="I455" t="s">
        <v>81</v>
      </c>
      <c r="J455" t="s">
        <v>82</v>
      </c>
      <c r="K455">
        <v>5</v>
      </c>
      <c r="L455">
        <v>31875</v>
      </c>
      <c r="M455" s="7">
        <v>0.25</v>
      </c>
      <c r="N455">
        <v>5780.75</v>
      </c>
      <c r="O455" t="s">
        <v>91</v>
      </c>
      <c r="P455">
        <f t="shared" si="35"/>
        <v>2025</v>
      </c>
      <c r="Q455" t="str">
        <f t="shared" si="36"/>
        <v>Dec</v>
      </c>
      <c r="R455" s="3">
        <f t="shared" si="37"/>
        <v>0.18135686274509805</v>
      </c>
      <c r="S455" t="str">
        <f t="shared" si="38"/>
        <v>High</v>
      </c>
      <c r="T455">
        <f t="shared" si="39"/>
        <v>12</v>
      </c>
    </row>
    <row r="456" spans="1:20">
      <c r="A456" t="s">
        <v>677</v>
      </c>
      <c r="B456" s="2">
        <v>45707</v>
      </c>
      <c r="C456" t="s">
        <v>98</v>
      </c>
      <c r="D456" t="s">
        <v>99</v>
      </c>
      <c r="E456" t="s">
        <v>126</v>
      </c>
      <c r="F456" t="s">
        <v>25</v>
      </c>
      <c r="G456" t="s">
        <v>35</v>
      </c>
      <c r="H456" t="s">
        <v>36</v>
      </c>
      <c r="I456" t="s">
        <v>89</v>
      </c>
      <c r="J456" t="s">
        <v>90</v>
      </c>
      <c r="K456">
        <v>1</v>
      </c>
      <c r="L456">
        <v>12325</v>
      </c>
      <c r="M456" s="7">
        <v>0.15</v>
      </c>
      <c r="N456">
        <v>1637.49</v>
      </c>
      <c r="O456" t="s">
        <v>39</v>
      </c>
      <c r="P456">
        <f t="shared" si="35"/>
        <v>2025</v>
      </c>
      <c r="Q456" t="str">
        <f t="shared" si="36"/>
        <v>Feb</v>
      </c>
      <c r="R456" s="3">
        <f t="shared" si="37"/>
        <v>0.13285922920892496</v>
      </c>
      <c r="S456" t="str">
        <f t="shared" si="38"/>
        <v>Low</v>
      </c>
      <c r="T456">
        <f t="shared" si="39"/>
        <v>2</v>
      </c>
    </row>
    <row r="457" spans="1:20">
      <c r="A457" t="s">
        <v>678</v>
      </c>
      <c r="B457" s="2">
        <v>45659</v>
      </c>
      <c r="C457" t="s">
        <v>333</v>
      </c>
      <c r="D457" t="s">
        <v>334</v>
      </c>
      <c r="E457" t="s">
        <v>160</v>
      </c>
      <c r="F457" t="s">
        <v>25</v>
      </c>
      <c r="G457" t="s">
        <v>161</v>
      </c>
      <c r="H457" t="s">
        <v>59</v>
      </c>
      <c r="I457" t="s">
        <v>60</v>
      </c>
      <c r="J457" t="s">
        <v>61</v>
      </c>
      <c r="K457">
        <v>4</v>
      </c>
      <c r="L457">
        <v>12800</v>
      </c>
      <c r="M457" s="7">
        <v>0</v>
      </c>
      <c r="N457">
        <v>1778.05</v>
      </c>
      <c r="O457" t="s">
        <v>30</v>
      </c>
      <c r="P457">
        <f t="shared" si="35"/>
        <v>2025</v>
      </c>
      <c r="Q457" t="str">
        <f t="shared" si="36"/>
        <v>Jan</v>
      </c>
      <c r="R457" s="3">
        <f t="shared" si="37"/>
        <v>0.13891015625</v>
      </c>
      <c r="S457" t="str">
        <f t="shared" si="38"/>
        <v>Low</v>
      </c>
      <c r="T457">
        <f t="shared" si="39"/>
        <v>1</v>
      </c>
    </row>
    <row r="458" spans="1:20">
      <c r="A458" t="s">
        <v>679</v>
      </c>
      <c r="B458" s="2">
        <v>45707</v>
      </c>
      <c r="C458" t="s">
        <v>247</v>
      </c>
      <c r="D458" t="s">
        <v>169</v>
      </c>
      <c r="E458" t="s">
        <v>126</v>
      </c>
      <c r="F458" t="s">
        <v>25</v>
      </c>
      <c r="G458" t="s">
        <v>35</v>
      </c>
      <c r="H458" t="s">
        <v>127</v>
      </c>
      <c r="I458" t="s">
        <v>128</v>
      </c>
      <c r="J458" t="s">
        <v>129</v>
      </c>
      <c r="K458">
        <v>1</v>
      </c>
      <c r="L458">
        <v>13775</v>
      </c>
      <c r="M458" s="7">
        <v>0.05</v>
      </c>
      <c r="N458">
        <v>1384.65</v>
      </c>
      <c r="O458" t="s">
        <v>83</v>
      </c>
      <c r="P458">
        <f t="shared" si="35"/>
        <v>2025</v>
      </c>
      <c r="Q458" t="str">
        <f t="shared" si="36"/>
        <v>Feb</v>
      </c>
      <c r="R458" s="3">
        <f t="shared" si="37"/>
        <v>0.10051905626134303</v>
      </c>
      <c r="S458" t="str">
        <f t="shared" si="38"/>
        <v>Low</v>
      </c>
      <c r="T458">
        <f t="shared" si="39"/>
        <v>2</v>
      </c>
    </row>
    <row r="459" spans="1:20">
      <c r="A459" t="s">
        <v>680</v>
      </c>
      <c r="B459" s="2">
        <v>45717</v>
      </c>
      <c r="C459" t="s">
        <v>175</v>
      </c>
      <c r="D459" t="s">
        <v>176</v>
      </c>
      <c r="E459" t="s">
        <v>142</v>
      </c>
      <c r="F459" t="s">
        <v>25</v>
      </c>
      <c r="G459" t="s">
        <v>143</v>
      </c>
      <c r="H459" t="s">
        <v>59</v>
      </c>
      <c r="I459" t="s">
        <v>96</v>
      </c>
      <c r="J459" t="s">
        <v>61</v>
      </c>
      <c r="K459">
        <v>3</v>
      </c>
      <c r="L459">
        <v>24150</v>
      </c>
      <c r="M459" s="7">
        <v>0.3</v>
      </c>
      <c r="N459">
        <v>1516.89</v>
      </c>
      <c r="O459" t="s">
        <v>91</v>
      </c>
      <c r="P459">
        <f t="shared" si="35"/>
        <v>2025</v>
      </c>
      <c r="Q459" t="str">
        <f t="shared" si="36"/>
        <v>Mar</v>
      </c>
      <c r="R459" s="3">
        <f t="shared" si="37"/>
        <v>6.2811180124223612E-2</v>
      </c>
      <c r="S459" t="str">
        <f t="shared" si="38"/>
        <v>Low</v>
      </c>
      <c r="T459">
        <f t="shared" si="39"/>
        <v>3</v>
      </c>
    </row>
    <row r="460" spans="1:20">
      <c r="A460" t="s">
        <v>681</v>
      </c>
      <c r="B460" s="2">
        <v>45936</v>
      </c>
      <c r="C460" t="s">
        <v>399</v>
      </c>
      <c r="D460" t="s">
        <v>400</v>
      </c>
      <c r="E460" t="s">
        <v>147</v>
      </c>
      <c r="F460" t="s">
        <v>76</v>
      </c>
      <c r="G460" t="s">
        <v>77</v>
      </c>
      <c r="H460" t="s">
        <v>36</v>
      </c>
      <c r="I460" t="s">
        <v>37</v>
      </c>
      <c r="J460" t="s">
        <v>38</v>
      </c>
      <c r="K460">
        <v>4</v>
      </c>
      <c r="L460">
        <v>950</v>
      </c>
      <c r="M460" s="7">
        <v>0.05</v>
      </c>
      <c r="N460">
        <v>132.46</v>
      </c>
      <c r="O460" t="s">
        <v>39</v>
      </c>
      <c r="P460">
        <f t="shared" si="35"/>
        <v>2025</v>
      </c>
      <c r="Q460" t="str">
        <f t="shared" si="36"/>
        <v>Oct</v>
      </c>
      <c r="R460" s="3">
        <f t="shared" si="37"/>
        <v>0.13943157894736843</v>
      </c>
      <c r="S460" t="str">
        <f t="shared" si="38"/>
        <v>Low</v>
      </c>
      <c r="T460">
        <f t="shared" si="39"/>
        <v>10</v>
      </c>
    </row>
    <row r="461" spans="1:20">
      <c r="A461" t="s">
        <v>682</v>
      </c>
      <c r="B461" s="2">
        <v>45792</v>
      </c>
      <c r="C461" t="s">
        <v>235</v>
      </c>
      <c r="D461" t="s">
        <v>236</v>
      </c>
      <c r="E461" t="s">
        <v>34</v>
      </c>
      <c r="F461" t="s">
        <v>25</v>
      </c>
      <c r="G461" t="s">
        <v>35</v>
      </c>
      <c r="H461" t="s">
        <v>59</v>
      </c>
      <c r="I461" t="s">
        <v>81</v>
      </c>
      <c r="J461" t="s">
        <v>82</v>
      </c>
      <c r="K461">
        <v>4</v>
      </c>
      <c r="L461">
        <v>187000</v>
      </c>
      <c r="M461" s="7">
        <v>0.15</v>
      </c>
      <c r="N461">
        <v>13331.18</v>
      </c>
      <c r="O461" t="s">
        <v>30</v>
      </c>
      <c r="P461">
        <f t="shared" si="35"/>
        <v>2025</v>
      </c>
      <c r="Q461" t="str">
        <f t="shared" si="36"/>
        <v>May</v>
      </c>
      <c r="R461" s="3">
        <f t="shared" si="37"/>
        <v>7.1289732620320859E-2</v>
      </c>
      <c r="S461" t="str">
        <f t="shared" si="38"/>
        <v>High</v>
      </c>
      <c r="T461">
        <f t="shared" si="39"/>
        <v>5</v>
      </c>
    </row>
    <row r="462" spans="1:20">
      <c r="A462" t="s">
        <v>683</v>
      </c>
      <c r="B462" s="2">
        <v>46014</v>
      </c>
      <c r="C462" t="s">
        <v>54</v>
      </c>
      <c r="D462" t="s">
        <v>55</v>
      </c>
      <c r="E462" t="s">
        <v>24</v>
      </c>
      <c r="F462" t="s">
        <v>25</v>
      </c>
      <c r="G462" t="s">
        <v>26</v>
      </c>
      <c r="H462" t="s">
        <v>59</v>
      </c>
      <c r="I462" t="s">
        <v>60</v>
      </c>
      <c r="J462" t="s">
        <v>61</v>
      </c>
      <c r="K462">
        <v>1</v>
      </c>
      <c r="L462">
        <v>1800</v>
      </c>
      <c r="M462" s="7">
        <v>0</v>
      </c>
      <c r="N462">
        <v>384.53</v>
      </c>
      <c r="O462" t="s">
        <v>71</v>
      </c>
      <c r="P462">
        <f t="shared" si="35"/>
        <v>2025</v>
      </c>
      <c r="Q462" t="str">
        <f t="shared" si="36"/>
        <v>Dec</v>
      </c>
      <c r="R462" s="3">
        <f t="shared" si="37"/>
        <v>0.21362777777777775</v>
      </c>
      <c r="S462" t="str">
        <f t="shared" si="38"/>
        <v>Low</v>
      </c>
      <c r="T462">
        <f t="shared" si="39"/>
        <v>12</v>
      </c>
    </row>
    <row r="463" spans="1:20">
      <c r="A463" t="s">
        <v>684</v>
      </c>
      <c r="B463" s="2">
        <v>45941</v>
      </c>
      <c r="C463" t="s">
        <v>438</v>
      </c>
      <c r="D463" t="s">
        <v>439</v>
      </c>
      <c r="E463" t="s">
        <v>126</v>
      </c>
      <c r="F463" t="s">
        <v>25</v>
      </c>
      <c r="G463" t="s">
        <v>35</v>
      </c>
      <c r="H463" t="s">
        <v>127</v>
      </c>
      <c r="I463" t="s">
        <v>128</v>
      </c>
      <c r="J463" t="s">
        <v>129</v>
      </c>
      <c r="K463">
        <v>1</v>
      </c>
      <c r="L463">
        <v>10150</v>
      </c>
      <c r="M463" s="7">
        <v>0.3</v>
      </c>
      <c r="N463">
        <v>591.01</v>
      </c>
      <c r="O463" t="s">
        <v>30</v>
      </c>
      <c r="P463">
        <f t="shared" si="35"/>
        <v>2025</v>
      </c>
      <c r="Q463" t="str">
        <f t="shared" si="36"/>
        <v>Oct</v>
      </c>
      <c r="R463" s="3">
        <f t="shared" si="37"/>
        <v>5.8227586206896553E-2</v>
      </c>
      <c r="S463" t="str">
        <f t="shared" si="38"/>
        <v>Low</v>
      </c>
      <c r="T463">
        <f t="shared" si="39"/>
        <v>10</v>
      </c>
    </row>
    <row r="464" spans="1:20">
      <c r="A464" t="s">
        <v>685</v>
      </c>
      <c r="B464" s="2">
        <v>45778</v>
      </c>
      <c r="C464" t="s">
        <v>175</v>
      </c>
      <c r="D464" t="s">
        <v>176</v>
      </c>
      <c r="E464" t="s">
        <v>75</v>
      </c>
      <c r="F464" t="s">
        <v>76</v>
      </c>
      <c r="G464" t="s">
        <v>77</v>
      </c>
      <c r="H464" t="s">
        <v>59</v>
      </c>
      <c r="I464" t="s">
        <v>96</v>
      </c>
      <c r="J464" t="s">
        <v>61</v>
      </c>
      <c r="K464">
        <v>4</v>
      </c>
      <c r="L464">
        <v>648</v>
      </c>
      <c r="M464" s="7">
        <v>0.1</v>
      </c>
      <c r="N464">
        <v>34.49</v>
      </c>
      <c r="O464" t="s">
        <v>83</v>
      </c>
      <c r="P464">
        <f t="shared" si="35"/>
        <v>2025</v>
      </c>
      <c r="Q464" t="str">
        <f t="shared" si="36"/>
        <v>May</v>
      </c>
      <c r="R464" s="3">
        <f t="shared" si="37"/>
        <v>5.3225308641975312E-2</v>
      </c>
      <c r="S464" t="str">
        <f t="shared" si="38"/>
        <v>Low</v>
      </c>
      <c r="T464">
        <f t="shared" si="39"/>
        <v>5</v>
      </c>
    </row>
    <row r="465" spans="1:20">
      <c r="A465" t="s">
        <v>686</v>
      </c>
      <c r="B465" s="2">
        <v>45922</v>
      </c>
      <c r="C465" t="s">
        <v>285</v>
      </c>
      <c r="D465" t="s">
        <v>286</v>
      </c>
      <c r="E465" t="s">
        <v>75</v>
      </c>
      <c r="F465" t="s">
        <v>76</v>
      </c>
      <c r="G465" t="s">
        <v>77</v>
      </c>
      <c r="H465" t="s">
        <v>27</v>
      </c>
      <c r="I465" t="s">
        <v>28</v>
      </c>
      <c r="J465" t="s">
        <v>29</v>
      </c>
      <c r="K465">
        <v>5</v>
      </c>
      <c r="L465">
        <v>675</v>
      </c>
      <c r="M465" s="7">
        <v>0.25</v>
      </c>
      <c r="N465">
        <v>146.69999999999999</v>
      </c>
      <c r="O465" t="s">
        <v>71</v>
      </c>
      <c r="P465">
        <f t="shared" si="35"/>
        <v>2025</v>
      </c>
      <c r="Q465" t="str">
        <f t="shared" si="36"/>
        <v>Sep</v>
      </c>
      <c r="R465" s="3">
        <f t="shared" si="37"/>
        <v>0.21733333333333332</v>
      </c>
      <c r="S465" t="str">
        <f t="shared" si="38"/>
        <v>Low</v>
      </c>
      <c r="T465">
        <f t="shared" si="39"/>
        <v>9</v>
      </c>
    </row>
    <row r="466" spans="1:20">
      <c r="A466" t="s">
        <v>687</v>
      </c>
      <c r="B466" s="2">
        <v>45766</v>
      </c>
      <c r="C466" t="s">
        <v>372</v>
      </c>
      <c r="D466" t="s">
        <v>373</v>
      </c>
      <c r="E466" t="s">
        <v>24</v>
      </c>
      <c r="F466" t="s">
        <v>25</v>
      </c>
      <c r="G466" t="s">
        <v>26</v>
      </c>
      <c r="H466" t="s">
        <v>27</v>
      </c>
      <c r="I466" t="s">
        <v>46</v>
      </c>
      <c r="J466" t="s">
        <v>46</v>
      </c>
      <c r="K466">
        <v>2</v>
      </c>
      <c r="L466">
        <v>3420</v>
      </c>
      <c r="M466" s="7">
        <v>0.05</v>
      </c>
      <c r="N466">
        <v>265.24</v>
      </c>
      <c r="O466" t="s">
        <v>71</v>
      </c>
      <c r="P466">
        <f t="shared" si="35"/>
        <v>2025</v>
      </c>
      <c r="Q466" t="str">
        <f t="shared" si="36"/>
        <v>Apr</v>
      </c>
      <c r="R466" s="3">
        <f t="shared" si="37"/>
        <v>7.7555555555555558E-2</v>
      </c>
      <c r="S466" t="str">
        <f t="shared" si="38"/>
        <v>Low</v>
      </c>
      <c r="T466">
        <f t="shared" si="39"/>
        <v>4</v>
      </c>
    </row>
    <row r="467" spans="1:20">
      <c r="A467" t="s">
        <v>688</v>
      </c>
      <c r="B467" s="2">
        <v>45979</v>
      </c>
      <c r="C467" t="s">
        <v>140</v>
      </c>
      <c r="D467" t="s">
        <v>141</v>
      </c>
      <c r="E467" t="s">
        <v>142</v>
      </c>
      <c r="F467" t="s">
        <v>25</v>
      </c>
      <c r="G467" t="s">
        <v>143</v>
      </c>
      <c r="H467" t="s">
        <v>127</v>
      </c>
      <c r="I467" t="s">
        <v>128</v>
      </c>
      <c r="J467" t="s">
        <v>129</v>
      </c>
      <c r="K467">
        <v>2</v>
      </c>
      <c r="L467">
        <v>16100</v>
      </c>
      <c r="M467" s="7">
        <v>0.3</v>
      </c>
      <c r="N467">
        <v>1851.96</v>
      </c>
      <c r="O467" t="s">
        <v>83</v>
      </c>
      <c r="P467">
        <f t="shared" si="35"/>
        <v>2025</v>
      </c>
      <c r="Q467" t="str">
        <f t="shared" si="36"/>
        <v>Nov</v>
      </c>
      <c r="R467" s="3">
        <f t="shared" si="37"/>
        <v>0.11502857142857142</v>
      </c>
      <c r="S467" t="str">
        <f t="shared" si="38"/>
        <v>Low</v>
      </c>
      <c r="T467">
        <f t="shared" si="39"/>
        <v>11</v>
      </c>
    </row>
    <row r="468" spans="1:20">
      <c r="A468" t="s">
        <v>689</v>
      </c>
      <c r="B468" s="2">
        <v>45942</v>
      </c>
      <c r="C468" t="s">
        <v>399</v>
      </c>
      <c r="D468" t="s">
        <v>400</v>
      </c>
      <c r="E468" t="s">
        <v>43</v>
      </c>
      <c r="F468" t="s">
        <v>44</v>
      </c>
      <c r="G468" t="s">
        <v>45</v>
      </c>
      <c r="H468" t="s">
        <v>36</v>
      </c>
      <c r="I468" t="s">
        <v>37</v>
      </c>
      <c r="J468" t="s">
        <v>38</v>
      </c>
      <c r="K468">
        <v>4</v>
      </c>
      <c r="L468">
        <v>27200</v>
      </c>
      <c r="M468" s="7">
        <v>0.2</v>
      </c>
      <c r="N468">
        <v>2486.5</v>
      </c>
      <c r="O468" t="s">
        <v>71</v>
      </c>
      <c r="P468">
        <f t="shared" si="35"/>
        <v>2025</v>
      </c>
      <c r="Q468" t="str">
        <f t="shared" si="36"/>
        <v>Oct</v>
      </c>
      <c r="R468" s="3">
        <f t="shared" si="37"/>
        <v>9.1415441176470588E-2</v>
      </c>
      <c r="S468" t="str">
        <f t="shared" si="38"/>
        <v>Low</v>
      </c>
      <c r="T468">
        <f t="shared" si="39"/>
        <v>10</v>
      </c>
    </row>
    <row r="469" spans="1:20">
      <c r="A469" t="s">
        <v>690</v>
      </c>
      <c r="B469" s="2">
        <v>46016</v>
      </c>
      <c r="C469" t="s">
        <v>85</v>
      </c>
      <c r="D469" t="s">
        <v>86</v>
      </c>
      <c r="E469" t="s">
        <v>114</v>
      </c>
      <c r="F469" t="s">
        <v>57</v>
      </c>
      <c r="G469" t="s">
        <v>58</v>
      </c>
      <c r="H469" t="s">
        <v>36</v>
      </c>
      <c r="I469" t="s">
        <v>89</v>
      </c>
      <c r="J469" t="s">
        <v>90</v>
      </c>
      <c r="K469">
        <v>5</v>
      </c>
      <c r="L469">
        <v>2800</v>
      </c>
      <c r="M469" s="7">
        <v>0.2</v>
      </c>
      <c r="N469">
        <v>345.89</v>
      </c>
      <c r="O469" t="s">
        <v>71</v>
      </c>
      <c r="P469">
        <f t="shared" si="35"/>
        <v>2025</v>
      </c>
      <c r="Q469" t="str">
        <f t="shared" si="36"/>
        <v>Dec</v>
      </c>
      <c r="R469" s="3">
        <f t="shared" si="37"/>
        <v>0.12353214285714285</v>
      </c>
      <c r="S469" t="str">
        <f t="shared" si="38"/>
        <v>Low</v>
      </c>
      <c r="T469">
        <f t="shared" si="39"/>
        <v>12</v>
      </c>
    </row>
    <row r="470" spans="1:20">
      <c r="A470" t="s">
        <v>691</v>
      </c>
      <c r="B470" s="2">
        <v>45948</v>
      </c>
      <c r="C470" t="s">
        <v>288</v>
      </c>
      <c r="D470" t="s">
        <v>289</v>
      </c>
      <c r="E470" t="s">
        <v>24</v>
      </c>
      <c r="F470" t="s">
        <v>25</v>
      </c>
      <c r="G470" t="s">
        <v>26</v>
      </c>
      <c r="H470" t="s">
        <v>36</v>
      </c>
      <c r="I470" t="s">
        <v>37</v>
      </c>
      <c r="J470" t="s">
        <v>38</v>
      </c>
      <c r="K470">
        <v>5</v>
      </c>
      <c r="L470">
        <v>7200</v>
      </c>
      <c r="M470" s="7">
        <v>0.2</v>
      </c>
      <c r="N470">
        <v>1041.79</v>
      </c>
      <c r="O470" t="s">
        <v>83</v>
      </c>
      <c r="P470">
        <f t="shared" si="35"/>
        <v>2025</v>
      </c>
      <c r="Q470" t="str">
        <f t="shared" si="36"/>
        <v>Oct</v>
      </c>
      <c r="R470" s="3">
        <f t="shared" si="37"/>
        <v>0.14469305555555556</v>
      </c>
      <c r="S470" t="str">
        <f t="shared" si="38"/>
        <v>Low</v>
      </c>
      <c r="T470">
        <f t="shared" si="39"/>
        <v>10</v>
      </c>
    </row>
    <row r="471" spans="1:20">
      <c r="A471" t="s">
        <v>692</v>
      </c>
      <c r="B471" s="2">
        <v>45709</v>
      </c>
      <c r="C471" t="s">
        <v>211</v>
      </c>
      <c r="D471" t="s">
        <v>212</v>
      </c>
      <c r="E471" t="s">
        <v>114</v>
      </c>
      <c r="F471" t="s">
        <v>57</v>
      </c>
      <c r="G471" t="s">
        <v>58</v>
      </c>
      <c r="H471" t="s">
        <v>127</v>
      </c>
      <c r="I471" t="s">
        <v>128</v>
      </c>
      <c r="J471" t="s">
        <v>129</v>
      </c>
      <c r="K471">
        <v>3</v>
      </c>
      <c r="L471">
        <v>1470</v>
      </c>
      <c r="M471" s="7">
        <v>0.3</v>
      </c>
      <c r="N471">
        <v>148.96</v>
      </c>
      <c r="O471" t="s">
        <v>71</v>
      </c>
      <c r="P471">
        <f t="shared" si="35"/>
        <v>2025</v>
      </c>
      <c r="Q471" t="str">
        <f t="shared" si="36"/>
        <v>Feb</v>
      </c>
      <c r="R471" s="3">
        <f t="shared" si="37"/>
        <v>0.10133333333333334</v>
      </c>
      <c r="S471" t="str">
        <f t="shared" si="38"/>
        <v>Low</v>
      </c>
      <c r="T471">
        <f t="shared" si="39"/>
        <v>2</v>
      </c>
    </row>
    <row r="472" spans="1:20">
      <c r="A472" t="s">
        <v>693</v>
      </c>
      <c r="B472" s="2">
        <v>45993</v>
      </c>
      <c r="C472" t="s">
        <v>79</v>
      </c>
      <c r="D472" t="s">
        <v>80</v>
      </c>
      <c r="E472" t="s">
        <v>43</v>
      </c>
      <c r="F472" t="s">
        <v>44</v>
      </c>
      <c r="G472" t="s">
        <v>45</v>
      </c>
      <c r="H472" t="s">
        <v>59</v>
      </c>
      <c r="I472" t="s">
        <v>81</v>
      </c>
      <c r="J472" t="s">
        <v>82</v>
      </c>
      <c r="K472">
        <v>4</v>
      </c>
      <c r="L472">
        <v>27200</v>
      </c>
      <c r="M472" s="7">
        <v>0.2</v>
      </c>
      <c r="N472">
        <v>4349.8</v>
      </c>
      <c r="O472" t="s">
        <v>91</v>
      </c>
      <c r="P472">
        <f t="shared" si="35"/>
        <v>2025</v>
      </c>
      <c r="Q472" t="str">
        <f t="shared" si="36"/>
        <v>Dec</v>
      </c>
      <c r="R472" s="3">
        <f t="shared" si="37"/>
        <v>0.15991911764705882</v>
      </c>
      <c r="S472" t="str">
        <f t="shared" si="38"/>
        <v>Low</v>
      </c>
      <c r="T472">
        <f t="shared" si="39"/>
        <v>12</v>
      </c>
    </row>
    <row r="473" spans="1:20">
      <c r="A473" t="s">
        <v>694</v>
      </c>
      <c r="B473" s="2">
        <v>45974</v>
      </c>
      <c r="C473" t="s">
        <v>68</v>
      </c>
      <c r="D473" t="s">
        <v>69</v>
      </c>
      <c r="E473" t="s">
        <v>24</v>
      </c>
      <c r="F473" t="s">
        <v>25</v>
      </c>
      <c r="G473" t="s">
        <v>26</v>
      </c>
      <c r="H473" t="s">
        <v>27</v>
      </c>
      <c r="I473" t="s">
        <v>46</v>
      </c>
      <c r="J473" t="s">
        <v>46</v>
      </c>
      <c r="K473">
        <v>5</v>
      </c>
      <c r="L473">
        <v>6750</v>
      </c>
      <c r="M473" s="7">
        <v>0.25</v>
      </c>
      <c r="N473">
        <v>1122.58</v>
      </c>
      <c r="O473" t="s">
        <v>91</v>
      </c>
      <c r="P473">
        <f t="shared" si="35"/>
        <v>2025</v>
      </c>
      <c r="Q473" t="str">
        <f t="shared" si="36"/>
        <v>Nov</v>
      </c>
      <c r="R473" s="3">
        <f t="shared" si="37"/>
        <v>0.16630814814814815</v>
      </c>
      <c r="S473" t="str">
        <f t="shared" si="38"/>
        <v>Low</v>
      </c>
      <c r="T473">
        <f t="shared" si="39"/>
        <v>11</v>
      </c>
    </row>
    <row r="474" spans="1:20">
      <c r="A474" t="s">
        <v>695</v>
      </c>
      <c r="B474" s="2">
        <v>45901</v>
      </c>
      <c r="C474" t="s">
        <v>172</v>
      </c>
      <c r="D474" t="s">
        <v>173</v>
      </c>
      <c r="E474" t="s">
        <v>34</v>
      </c>
      <c r="F474" t="s">
        <v>25</v>
      </c>
      <c r="G474" t="s">
        <v>35</v>
      </c>
      <c r="H474" t="s">
        <v>27</v>
      </c>
      <c r="I474" t="s">
        <v>46</v>
      </c>
      <c r="J474" t="s">
        <v>46</v>
      </c>
      <c r="K474">
        <v>3</v>
      </c>
      <c r="L474">
        <v>148500</v>
      </c>
      <c r="M474" s="7">
        <v>0.1</v>
      </c>
      <c r="N474">
        <v>6476.37</v>
      </c>
      <c r="O474" t="s">
        <v>91</v>
      </c>
      <c r="P474">
        <f t="shared" si="35"/>
        <v>2025</v>
      </c>
      <c r="Q474" t="str">
        <f t="shared" si="36"/>
        <v>Sep</v>
      </c>
      <c r="R474" s="3">
        <f t="shared" si="37"/>
        <v>4.3611919191919188E-2</v>
      </c>
      <c r="S474" t="str">
        <f t="shared" si="38"/>
        <v>High</v>
      </c>
      <c r="T474">
        <f t="shared" si="39"/>
        <v>9</v>
      </c>
    </row>
    <row r="475" spans="1:20">
      <c r="A475" t="s">
        <v>696</v>
      </c>
      <c r="B475" s="2">
        <v>45909</v>
      </c>
      <c r="C475" t="s">
        <v>617</v>
      </c>
      <c r="D475" t="s">
        <v>618</v>
      </c>
      <c r="E475" t="s">
        <v>103</v>
      </c>
      <c r="F475" t="s">
        <v>25</v>
      </c>
      <c r="G475" t="s">
        <v>104</v>
      </c>
      <c r="H475" t="s">
        <v>27</v>
      </c>
      <c r="I475" t="s">
        <v>28</v>
      </c>
      <c r="J475" t="s">
        <v>29</v>
      </c>
      <c r="K475">
        <v>1</v>
      </c>
      <c r="L475">
        <v>19600</v>
      </c>
      <c r="M475" s="7">
        <v>0.3</v>
      </c>
      <c r="N475">
        <v>843.89</v>
      </c>
      <c r="O475" t="s">
        <v>71</v>
      </c>
      <c r="P475">
        <f t="shared" si="35"/>
        <v>2025</v>
      </c>
      <c r="Q475" t="str">
        <f t="shared" si="36"/>
        <v>Sep</v>
      </c>
      <c r="R475" s="3">
        <f t="shared" si="37"/>
        <v>4.3055612244897956E-2</v>
      </c>
      <c r="S475" t="str">
        <f t="shared" si="38"/>
        <v>Low</v>
      </c>
      <c r="T475">
        <f t="shared" si="39"/>
        <v>9</v>
      </c>
    </row>
    <row r="476" spans="1:20">
      <c r="A476" t="s">
        <v>697</v>
      </c>
      <c r="B476" s="2">
        <v>45871</v>
      </c>
      <c r="C476" t="s">
        <v>206</v>
      </c>
      <c r="D476" t="s">
        <v>207</v>
      </c>
      <c r="E476" t="s">
        <v>103</v>
      </c>
      <c r="F476" t="s">
        <v>25</v>
      </c>
      <c r="G476" t="s">
        <v>104</v>
      </c>
      <c r="H476" t="s">
        <v>59</v>
      </c>
      <c r="I476" t="s">
        <v>81</v>
      </c>
      <c r="J476" t="s">
        <v>82</v>
      </c>
      <c r="K476">
        <v>5</v>
      </c>
      <c r="L476">
        <v>105000</v>
      </c>
      <c r="M476" s="7">
        <v>0.25</v>
      </c>
      <c r="N476">
        <v>2126.2600000000002</v>
      </c>
      <c r="O476" t="s">
        <v>71</v>
      </c>
      <c r="P476">
        <f t="shared" si="35"/>
        <v>2025</v>
      </c>
      <c r="Q476" t="str">
        <f t="shared" si="36"/>
        <v>Aug</v>
      </c>
      <c r="R476" s="3">
        <f t="shared" si="37"/>
        <v>2.0250095238095241E-2</v>
      </c>
      <c r="S476" t="str">
        <f t="shared" si="38"/>
        <v>High</v>
      </c>
      <c r="T476">
        <f t="shared" si="39"/>
        <v>8</v>
      </c>
    </row>
    <row r="477" spans="1:20">
      <c r="A477" t="s">
        <v>698</v>
      </c>
      <c r="B477" s="2">
        <v>45922</v>
      </c>
      <c r="C477" t="s">
        <v>51</v>
      </c>
      <c r="D477" t="s">
        <v>52</v>
      </c>
      <c r="E477" t="s">
        <v>114</v>
      </c>
      <c r="F477" t="s">
        <v>57</v>
      </c>
      <c r="G477" t="s">
        <v>58</v>
      </c>
      <c r="H477" t="s">
        <v>36</v>
      </c>
      <c r="I477" t="s">
        <v>37</v>
      </c>
      <c r="J477" t="s">
        <v>38</v>
      </c>
      <c r="K477">
        <v>3</v>
      </c>
      <c r="L477">
        <v>1470</v>
      </c>
      <c r="M477" s="7">
        <v>0.3</v>
      </c>
      <c r="N477">
        <v>-41.34</v>
      </c>
      <c r="O477" t="s">
        <v>83</v>
      </c>
      <c r="P477">
        <f t="shared" si="35"/>
        <v>2025</v>
      </c>
      <c r="Q477" t="str">
        <f t="shared" si="36"/>
        <v>Sep</v>
      </c>
      <c r="R477" s="3">
        <f t="shared" si="37"/>
        <v>-2.8122448979591839E-2</v>
      </c>
      <c r="S477" t="str">
        <f t="shared" si="38"/>
        <v>Low</v>
      </c>
      <c r="T477">
        <f t="shared" si="39"/>
        <v>9</v>
      </c>
    </row>
    <row r="478" spans="1:20">
      <c r="A478" t="s">
        <v>699</v>
      </c>
      <c r="B478" s="2">
        <v>45917</v>
      </c>
      <c r="C478" t="s">
        <v>617</v>
      </c>
      <c r="D478" t="s">
        <v>618</v>
      </c>
      <c r="E478" t="s">
        <v>56</v>
      </c>
      <c r="F478" t="s">
        <v>57</v>
      </c>
      <c r="G478" t="s">
        <v>58</v>
      </c>
      <c r="H478" t="s">
        <v>27</v>
      </c>
      <c r="I478" t="s">
        <v>28</v>
      </c>
      <c r="J478" t="s">
        <v>29</v>
      </c>
      <c r="K478">
        <v>4</v>
      </c>
      <c r="L478">
        <v>6080</v>
      </c>
      <c r="M478" s="7">
        <v>0.05</v>
      </c>
      <c r="N478">
        <v>1334.86</v>
      </c>
      <c r="O478" t="s">
        <v>30</v>
      </c>
      <c r="P478">
        <f t="shared" si="35"/>
        <v>2025</v>
      </c>
      <c r="Q478" t="str">
        <f t="shared" si="36"/>
        <v>Sep</v>
      </c>
      <c r="R478" s="3">
        <f t="shared" si="37"/>
        <v>0.21954934210526314</v>
      </c>
      <c r="S478" t="str">
        <f t="shared" si="38"/>
        <v>Low</v>
      </c>
      <c r="T478">
        <f t="shared" si="39"/>
        <v>9</v>
      </c>
    </row>
    <row r="479" spans="1:20">
      <c r="A479" t="s">
        <v>700</v>
      </c>
      <c r="B479" s="2">
        <v>45756</v>
      </c>
      <c r="C479" t="s">
        <v>145</v>
      </c>
      <c r="D479" t="s">
        <v>146</v>
      </c>
      <c r="E479" t="s">
        <v>24</v>
      </c>
      <c r="F479" t="s">
        <v>25</v>
      </c>
      <c r="G479" t="s">
        <v>26</v>
      </c>
      <c r="H479" t="s">
        <v>36</v>
      </c>
      <c r="I479" t="s">
        <v>115</v>
      </c>
      <c r="J479" t="s">
        <v>116</v>
      </c>
      <c r="K479">
        <v>2</v>
      </c>
      <c r="L479">
        <v>2520</v>
      </c>
      <c r="M479" s="7">
        <v>0.3</v>
      </c>
      <c r="N479">
        <v>73.19</v>
      </c>
      <c r="O479" t="s">
        <v>83</v>
      </c>
      <c r="P479">
        <f t="shared" si="35"/>
        <v>2025</v>
      </c>
      <c r="Q479" t="str">
        <f t="shared" si="36"/>
        <v>Apr</v>
      </c>
      <c r="R479" s="3">
        <f t="shared" si="37"/>
        <v>2.9043650793650792E-2</v>
      </c>
      <c r="S479" t="str">
        <f t="shared" si="38"/>
        <v>Low</v>
      </c>
      <c r="T479">
        <f t="shared" si="39"/>
        <v>4</v>
      </c>
    </row>
    <row r="480" spans="1:20">
      <c r="A480" t="s">
        <v>701</v>
      </c>
      <c r="B480" s="2">
        <v>45759</v>
      </c>
      <c r="C480" t="s">
        <v>317</v>
      </c>
      <c r="D480" t="s">
        <v>318</v>
      </c>
      <c r="E480" t="s">
        <v>56</v>
      </c>
      <c r="F480" t="s">
        <v>57</v>
      </c>
      <c r="G480" t="s">
        <v>58</v>
      </c>
      <c r="H480" t="s">
        <v>59</v>
      </c>
      <c r="I480" t="s">
        <v>81</v>
      </c>
      <c r="J480" t="s">
        <v>82</v>
      </c>
      <c r="K480">
        <v>3</v>
      </c>
      <c r="L480">
        <v>4320</v>
      </c>
      <c r="M480" s="7">
        <v>0.1</v>
      </c>
      <c r="N480">
        <v>916.16</v>
      </c>
      <c r="O480" t="s">
        <v>83</v>
      </c>
      <c r="P480">
        <f t="shared" si="35"/>
        <v>2025</v>
      </c>
      <c r="Q480" t="str">
        <f t="shared" si="36"/>
        <v>Apr</v>
      </c>
      <c r="R480" s="3">
        <f t="shared" si="37"/>
        <v>0.21207407407407405</v>
      </c>
      <c r="S480" t="str">
        <f t="shared" si="38"/>
        <v>Low</v>
      </c>
      <c r="T480">
        <f t="shared" si="39"/>
        <v>4</v>
      </c>
    </row>
    <row r="481" spans="1:20">
      <c r="A481" t="s">
        <v>702</v>
      </c>
      <c r="B481" s="2">
        <v>45848</v>
      </c>
      <c r="C481" t="s">
        <v>145</v>
      </c>
      <c r="D481" t="s">
        <v>146</v>
      </c>
      <c r="E481" t="s">
        <v>126</v>
      </c>
      <c r="F481" t="s">
        <v>25</v>
      </c>
      <c r="G481" t="s">
        <v>35</v>
      </c>
      <c r="H481" t="s">
        <v>36</v>
      </c>
      <c r="I481" t="s">
        <v>115</v>
      </c>
      <c r="J481" t="s">
        <v>116</v>
      </c>
      <c r="K481">
        <v>4</v>
      </c>
      <c r="L481">
        <v>46400</v>
      </c>
      <c r="M481" s="7">
        <v>0.2</v>
      </c>
      <c r="N481">
        <v>3767.43</v>
      </c>
      <c r="O481" t="s">
        <v>71</v>
      </c>
      <c r="P481">
        <f t="shared" si="35"/>
        <v>2025</v>
      </c>
      <c r="Q481" t="str">
        <f t="shared" si="36"/>
        <v>Jul</v>
      </c>
      <c r="R481" s="3">
        <f t="shared" si="37"/>
        <v>8.1194612068965513E-2</v>
      </c>
      <c r="S481" t="str">
        <f t="shared" si="38"/>
        <v>High</v>
      </c>
      <c r="T481">
        <f t="shared" si="39"/>
        <v>7</v>
      </c>
    </row>
    <row r="482" spans="1:20">
      <c r="A482" t="s">
        <v>703</v>
      </c>
      <c r="B482" s="2">
        <v>45837</v>
      </c>
      <c r="C482" t="s">
        <v>438</v>
      </c>
      <c r="D482" t="s">
        <v>439</v>
      </c>
      <c r="E482" t="s">
        <v>121</v>
      </c>
      <c r="F482" t="s">
        <v>44</v>
      </c>
      <c r="G482" t="s">
        <v>122</v>
      </c>
      <c r="H482" t="s">
        <v>127</v>
      </c>
      <c r="I482" t="s">
        <v>128</v>
      </c>
      <c r="J482" t="s">
        <v>129</v>
      </c>
      <c r="K482">
        <v>3</v>
      </c>
      <c r="L482">
        <v>18525</v>
      </c>
      <c r="M482" s="7">
        <v>0.05</v>
      </c>
      <c r="N482">
        <v>4340.3599999999997</v>
      </c>
      <c r="O482" t="s">
        <v>83</v>
      </c>
      <c r="P482">
        <f t="shared" si="35"/>
        <v>2025</v>
      </c>
      <c r="Q482" t="str">
        <f t="shared" si="36"/>
        <v>Jun</v>
      </c>
      <c r="R482" s="3">
        <f t="shared" si="37"/>
        <v>0.23429743589743587</v>
      </c>
      <c r="S482" t="str">
        <f t="shared" si="38"/>
        <v>Low</v>
      </c>
      <c r="T482">
        <f t="shared" si="39"/>
        <v>6</v>
      </c>
    </row>
    <row r="483" spans="1:20">
      <c r="A483" t="s">
        <v>704</v>
      </c>
      <c r="B483" s="2">
        <v>45855</v>
      </c>
      <c r="C483" t="s">
        <v>278</v>
      </c>
      <c r="D483" t="s">
        <v>279</v>
      </c>
      <c r="E483" t="s">
        <v>34</v>
      </c>
      <c r="F483" t="s">
        <v>25</v>
      </c>
      <c r="G483" t="s">
        <v>35</v>
      </c>
      <c r="H483" t="s">
        <v>36</v>
      </c>
      <c r="I483" t="s">
        <v>89</v>
      </c>
      <c r="J483" t="s">
        <v>90</v>
      </c>
      <c r="K483">
        <v>1</v>
      </c>
      <c r="L483">
        <v>52250</v>
      </c>
      <c r="M483" s="7">
        <v>0.05</v>
      </c>
      <c r="N483">
        <v>12070.61</v>
      </c>
      <c r="O483" t="s">
        <v>39</v>
      </c>
      <c r="P483">
        <f t="shared" si="35"/>
        <v>2025</v>
      </c>
      <c r="Q483" t="str">
        <f t="shared" si="36"/>
        <v>Jul</v>
      </c>
      <c r="R483" s="3">
        <f t="shared" si="37"/>
        <v>0.23101645933014356</v>
      </c>
      <c r="S483" t="str">
        <f t="shared" si="38"/>
        <v>High</v>
      </c>
      <c r="T483">
        <f t="shared" si="39"/>
        <v>7</v>
      </c>
    </row>
    <row r="484" spans="1:20">
      <c r="A484" t="s">
        <v>705</v>
      </c>
      <c r="B484" s="2">
        <v>45773</v>
      </c>
      <c r="C484" t="s">
        <v>312</v>
      </c>
      <c r="D484" t="s">
        <v>313</v>
      </c>
      <c r="E484" t="s">
        <v>147</v>
      </c>
      <c r="F484" t="s">
        <v>76</v>
      </c>
      <c r="G484" t="s">
        <v>77</v>
      </c>
      <c r="H484" t="s">
        <v>27</v>
      </c>
      <c r="I484" t="s">
        <v>46</v>
      </c>
      <c r="J484" t="s">
        <v>46</v>
      </c>
      <c r="K484">
        <v>2</v>
      </c>
      <c r="L484">
        <v>450</v>
      </c>
      <c r="M484" s="7">
        <v>0.1</v>
      </c>
      <c r="N484">
        <v>79.87</v>
      </c>
      <c r="O484" t="s">
        <v>83</v>
      </c>
      <c r="P484">
        <f t="shared" si="35"/>
        <v>2025</v>
      </c>
      <c r="Q484" t="str">
        <f t="shared" si="36"/>
        <v>Apr</v>
      </c>
      <c r="R484" s="3">
        <f t="shared" si="37"/>
        <v>0.17748888888888889</v>
      </c>
      <c r="S484" t="str">
        <f t="shared" si="38"/>
        <v>Low</v>
      </c>
      <c r="T484">
        <f t="shared" si="39"/>
        <v>4</v>
      </c>
    </row>
    <row r="485" spans="1:20">
      <c r="A485" t="s">
        <v>706</v>
      </c>
      <c r="B485" s="2">
        <v>45725</v>
      </c>
      <c r="C485" t="s">
        <v>175</v>
      </c>
      <c r="D485" t="s">
        <v>176</v>
      </c>
      <c r="E485" t="s">
        <v>95</v>
      </c>
      <c r="F485" t="s">
        <v>25</v>
      </c>
      <c r="G485" t="s">
        <v>26</v>
      </c>
      <c r="H485" t="s">
        <v>59</v>
      </c>
      <c r="I485" t="s">
        <v>96</v>
      </c>
      <c r="J485" t="s">
        <v>61</v>
      </c>
      <c r="K485">
        <v>2</v>
      </c>
      <c r="L485">
        <v>720</v>
      </c>
      <c r="M485" s="7">
        <v>0.2</v>
      </c>
      <c r="N485">
        <v>136.07</v>
      </c>
      <c r="O485" t="s">
        <v>30</v>
      </c>
      <c r="P485">
        <f t="shared" si="35"/>
        <v>2025</v>
      </c>
      <c r="Q485" t="str">
        <f t="shared" si="36"/>
        <v>Mar</v>
      </c>
      <c r="R485" s="3">
        <f t="shared" si="37"/>
        <v>0.1889861111111111</v>
      </c>
      <c r="S485" t="str">
        <f t="shared" si="38"/>
        <v>Low</v>
      </c>
      <c r="T485">
        <f t="shared" si="39"/>
        <v>3</v>
      </c>
    </row>
    <row r="486" spans="1:20">
      <c r="A486" t="s">
        <v>707</v>
      </c>
      <c r="B486" s="2">
        <v>46021</v>
      </c>
      <c r="C486" t="s">
        <v>617</v>
      </c>
      <c r="D486" t="s">
        <v>618</v>
      </c>
      <c r="E486" t="s">
        <v>56</v>
      </c>
      <c r="F486" t="s">
        <v>57</v>
      </c>
      <c r="G486" t="s">
        <v>58</v>
      </c>
      <c r="H486" t="s">
        <v>27</v>
      </c>
      <c r="I486" t="s">
        <v>28</v>
      </c>
      <c r="J486" t="s">
        <v>29</v>
      </c>
      <c r="K486">
        <v>3</v>
      </c>
      <c r="L486">
        <v>4080</v>
      </c>
      <c r="M486" s="7">
        <v>0.15</v>
      </c>
      <c r="N486">
        <v>804.42</v>
      </c>
      <c r="O486" t="s">
        <v>71</v>
      </c>
      <c r="P486">
        <f t="shared" si="35"/>
        <v>2025</v>
      </c>
      <c r="Q486" t="str">
        <f t="shared" si="36"/>
        <v>Dec</v>
      </c>
      <c r="R486" s="3">
        <f t="shared" si="37"/>
        <v>0.19716176470588234</v>
      </c>
      <c r="S486" t="str">
        <f t="shared" si="38"/>
        <v>Low</v>
      </c>
      <c r="T486">
        <f t="shared" si="39"/>
        <v>12</v>
      </c>
    </row>
    <row r="487" spans="1:20">
      <c r="A487" t="s">
        <v>708</v>
      </c>
      <c r="B487" s="2">
        <v>45896</v>
      </c>
      <c r="C487" t="s">
        <v>109</v>
      </c>
      <c r="D487" t="s">
        <v>110</v>
      </c>
      <c r="E487" t="s">
        <v>126</v>
      </c>
      <c r="F487" t="s">
        <v>25</v>
      </c>
      <c r="G487" t="s">
        <v>35</v>
      </c>
      <c r="H487" t="s">
        <v>59</v>
      </c>
      <c r="I487" t="s">
        <v>96</v>
      </c>
      <c r="J487" t="s">
        <v>61</v>
      </c>
      <c r="K487">
        <v>3</v>
      </c>
      <c r="L487">
        <v>32625</v>
      </c>
      <c r="M487" s="7">
        <v>0.25</v>
      </c>
      <c r="N487">
        <v>3104.34</v>
      </c>
      <c r="O487" t="s">
        <v>30</v>
      </c>
      <c r="P487">
        <f t="shared" si="35"/>
        <v>2025</v>
      </c>
      <c r="Q487" t="str">
        <f t="shared" si="36"/>
        <v>Aug</v>
      </c>
      <c r="R487" s="3">
        <f t="shared" si="37"/>
        <v>9.5152183908045987E-2</v>
      </c>
      <c r="S487" t="str">
        <f t="shared" si="38"/>
        <v>High</v>
      </c>
      <c r="T487">
        <f t="shared" si="39"/>
        <v>8</v>
      </c>
    </row>
    <row r="488" spans="1:20">
      <c r="A488" t="s">
        <v>709</v>
      </c>
      <c r="B488" s="2">
        <v>45919</v>
      </c>
      <c r="C488" t="s">
        <v>270</v>
      </c>
      <c r="D488" t="s">
        <v>271</v>
      </c>
      <c r="E488" t="s">
        <v>34</v>
      </c>
      <c r="F488" t="s">
        <v>25</v>
      </c>
      <c r="G488" t="s">
        <v>35</v>
      </c>
      <c r="H488" t="s">
        <v>27</v>
      </c>
      <c r="I488" t="s">
        <v>28</v>
      </c>
      <c r="J488" t="s">
        <v>29</v>
      </c>
      <c r="K488">
        <v>3</v>
      </c>
      <c r="L488">
        <v>132000</v>
      </c>
      <c r="M488" s="7">
        <v>0.2</v>
      </c>
      <c r="N488">
        <v>18350.099999999999</v>
      </c>
      <c r="O488" t="s">
        <v>91</v>
      </c>
      <c r="P488">
        <f t="shared" si="35"/>
        <v>2025</v>
      </c>
      <c r="Q488" t="str">
        <f t="shared" si="36"/>
        <v>Sep</v>
      </c>
      <c r="R488" s="3">
        <f t="shared" si="37"/>
        <v>0.13901590909090908</v>
      </c>
      <c r="S488" t="str">
        <f t="shared" si="38"/>
        <v>High</v>
      </c>
      <c r="T488">
        <f t="shared" si="39"/>
        <v>9</v>
      </c>
    </row>
    <row r="489" spans="1:20">
      <c r="A489" t="s">
        <v>710</v>
      </c>
      <c r="B489" s="2">
        <v>45690</v>
      </c>
      <c r="C489" t="s">
        <v>270</v>
      </c>
      <c r="D489" t="s">
        <v>271</v>
      </c>
      <c r="E489" t="s">
        <v>87</v>
      </c>
      <c r="F489" t="s">
        <v>44</v>
      </c>
      <c r="G489" t="s">
        <v>88</v>
      </c>
      <c r="H489" t="s">
        <v>27</v>
      </c>
      <c r="I489" t="s">
        <v>28</v>
      </c>
      <c r="J489" t="s">
        <v>29</v>
      </c>
      <c r="K489">
        <v>3</v>
      </c>
      <c r="L489">
        <v>32400</v>
      </c>
      <c r="M489" s="7">
        <v>0.1</v>
      </c>
      <c r="N489">
        <v>5397.25</v>
      </c>
      <c r="O489" t="s">
        <v>91</v>
      </c>
      <c r="P489">
        <f t="shared" si="35"/>
        <v>2025</v>
      </c>
      <c r="Q489" t="str">
        <f t="shared" si="36"/>
        <v>Feb</v>
      </c>
      <c r="R489" s="3">
        <f t="shared" si="37"/>
        <v>0.16658179012345678</v>
      </c>
      <c r="S489" t="str">
        <f t="shared" si="38"/>
        <v>High</v>
      </c>
      <c r="T489">
        <f t="shared" si="39"/>
        <v>2</v>
      </c>
    </row>
    <row r="490" spans="1:20">
      <c r="A490" t="s">
        <v>711</v>
      </c>
      <c r="B490" s="2">
        <v>45734</v>
      </c>
      <c r="C490" t="s">
        <v>98</v>
      </c>
      <c r="D490" t="s">
        <v>99</v>
      </c>
      <c r="E490" t="s">
        <v>126</v>
      </c>
      <c r="F490" t="s">
        <v>25</v>
      </c>
      <c r="G490" t="s">
        <v>35</v>
      </c>
      <c r="H490" t="s">
        <v>36</v>
      </c>
      <c r="I490" t="s">
        <v>89</v>
      </c>
      <c r="J490" t="s">
        <v>90</v>
      </c>
      <c r="K490">
        <v>5</v>
      </c>
      <c r="L490">
        <v>50750</v>
      </c>
      <c r="M490" s="7">
        <v>0.3</v>
      </c>
      <c r="N490">
        <v>3237.97</v>
      </c>
      <c r="O490" t="s">
        <v>30</v>
      </c>
      <c r="P490">
        <f t="shared" si="35"/>
        <v>2025</v>
      </c>
      <c r="Q490" t="str">
        <f t="shared" si="36"/>
        <v>Mar</v>
      </c>
      <c r="R490" s="3">
        <f t="shared" si="37"/>
        <v>6.3802364532019706E-2</v>
      </c>
      <c r="S490" t="str">
        <f t="shared" si="38"/>
        <v>High</v>
      </c>
      <c r="T490">
        <f t="shared" si="39"/>
        <v>3</v>
      </c>
    </row>
    <row r="491" spans="1:20">
      <c r="A491" t="s">
        <v>712</v>
      </c>
      <c r="B491" s="2">
        <v>45821</v>
      </c>
      <c r="C491" t="s">
        <v>68</v>
      </c>
      <c r="D491" t="s">
        <v>69</v>
      </c>
      <c r="E491" t="s">
        <v>147</v>
      </c>
      <c r="F491" t="s">
        <v>76</v>
      </c>
      <c r="G491" t="s">
        <v>77</v>
      </c>
      <c r="H491" t="s">
        <v>27</v>
      </c>
      <c r="I491" t="s">
        <v>46</v>
      </c>
      <c r="J491" t="s">
        <v>46</v>
      </c>
      <c r="K491">
        <v>2</v>
      </c>
      <c r="L491">
        <v>375</v>
      </c>
      <c r="M491" s="7">
        <v>0.25</v>
      </c>
      <c r="N491">
        <v>1.5</v>
      </c>
      <c r="O491" t="s">
        <v>91</v>
      </c>
      <c r="P491">
        <f t="shared" si="35"/>
        <v>2025</v>
      </c>
      <c r="Q491" t="str">
        <f t="shared" si="36"/>
        <v>Jun</v>
      </c>
      <c r="R491" s="3">
        <f t="shared" si="37"/>
        <v>4.0000000000000001E-3</v>
      </c>
      <c r="S491" t="str">
        <f t="shared" si="38"/>
        <v>Low</v>
      </c>
      <c r="T491">
        <f t="shared" si="39"/>
        <v>6</v>
      </c>
    </row>
    <row r="492" spans="1:20">
      <c r="A492" t="s">
        <v>713</v>
      </c>
      <c r="B492" s="2">
        <v>45872</v>
      </c>
      <c r="C492" t="s">
        <v>79</v>
      </c>
      <c r="D492" t="s">
        <v>80</v>
      </c>
      <c r="E492" t="s">
        <v>95</v>
      </c>
      <c r="F492" t="s">
        <v>25</v>
      </c>
      <c r="G492" t="s">
        <v>26</v>
      </c>
      <c r="H492" t="s">
        <v>59</v>
      </c>
      <c r="I492" t="s">
        <v>81</v>
      </c>
      <c r="J492" t="s">
        <v>82</v>
      </c>
      <c r="K492">
        <v>4</v>
      </c>
      <c r="L492">
        <v>1530</v>
      </c>
      <c r="M492" s="7">
        <v>0.15</v>
      </c>
      <c r="N492">
        <v>268.49</v>
      </c>
      <c r="O492" t="s">
        <v>30</v>
      </c>
      <c r="P492">
        <f t="shared" si="35"/>
        <v>2025</v>
      </c>
      <c r="Q492" t="str">
        <f t="shared" si="36"/>
        <v>Aug</v>
      </c>
      <c r="R492" s="3">
        <f t="shared" si="37"/>
        <v>0.17548366013071895</v>
      </c>
      <c r="S492" t="str">
        <f t="shared" si="38"/>
        <v>Low</v>
      </c>
      <c r="T492">
        <f t="shared" si="39"/>
        <v>8</v>
      </c>
    </row>
    <row r="493" spans="1:20">
      <c r="A493" t="s">
        <v>714</v>
      </c>
      <c r="B493" s="2">
        <v>45771</v>
      </c>
      <c r="C493" t="s">
        <v>164</v>
      </c>
      <c r="D493" t="s">
        <v>165</v>
      </c>
      <c r="E493" t="s">
        <v>160</v>
      </c>
      <c r="F493" t="s">
        <v>25</v>
      </c>
      <c r="G493" t="s">
        <v>161</v>
      </c>
      <c r="H493" t="s">
        <v>59</v>
      </c>
      <c r="I493" t="s">
        <v>81</v>
      </c>
      <c r="J493" t="s">
        <v>82</v>
      </c>
      <c r="K493">
        <v>5</v>
      </c>
      <c r="L493">
        <v>12000</v>
      </c>
      <c r="M493" s="7">
        <v>0.25</v>
      </c>
      <c r="N493">
        <v>1563.86</v>
      </c>
      <c r="O493" t="s">
        <v>91</v>
      </c>
      <c r="P493">
        <f t="shared" si="35"/>
        <v>2025</v>
      </c>
      <c r="Q493" t="str">
        <f t="shared" si="36"/>
        <v>Apr</v>
      </c>
      <c r="R493" s="3">
        <f t="shared" si="37"/>
        <v>0.13032166666666667</v>
      </c>
      <c r="S493" t="str">
        <f t="shared" si="38"/>
        <v>Low</v>
      </c>
      <c r="T493">
        <f t="shared" si="39"/>
        <v>4</v>
      </c>
    </row>
    <row r="494" spans="1:20">
      <c r="A494" t="s">
        <v>715</v>
      </c>
      <c r="B494" s="2">
        <v>45745</v>
      </c>
      <c r="C494" t="s">
        <v>285</v>
      </c>
      <c r="D494" t="s">
        <v>286</v>
      </c>
      <c r="E494" t="s">
        <v>103</v>
      </c>
      <c r="F494" t="s">
        <v>25</v>
      </c>
      <c r="G494" t="s">
        <v>104</v>
      </c>
      <c r="H494" t="s">
        <v>27</v>
      </c>
      <c r="I494" t="s">
        <v>28</v>
      </c>
      <c r="J494" t="s">
        <v>29</v>
      </c>
      <c r="K494">
        <v>5</v>
      </c>
      <c r="L494">
        <v>133000</v>
      </c>
      <c r="M494" s="7">
        <v>0.05</v>
      </c>
      <c r="N494">
        <v>16341.98</v>
      </c>
      <c r="O494" t="s">
        <v>91</v>
      </c>
      <c r="P494">
        <f t="shared" si="35"/>
        <v>2025</v>
      </c>
      <c r="Q494" t="str">
        <f t="shared" si="36"/>
        <v>Mar</v>
      </c>
      <c r="R494" s="3">
        <f t="shared" si="37"/>
        <v>0.12287203007518796</v>
      </c>
      <c r="S494" t="str">
        <f t="shared" si="38"/>
        <v>High</v>
      </c>
      <c r="T494">
        <f t="shared" si="39"/>
        <v>3</v>
      </c>
    </row>
    <row r="495" spans="1:20">
      <c r="A495" t="s">
        <v>716</v>
      </c>
      <c r="B495" s="2">
        <v>45751</v>
      </c>
      <c r="C495" t="s">
        <v>118</v>
      </c>
      <c r="D495" t="s">
        <v>119</v>
      </c>
      <c r="E495" t="s">
        <v>114</v>
      </c>
      <c r="F495" t="s">
        <v>57</v>
      </c>
      <c r="G495" t="s">
        <v>58</v>
      </c>
      <c r="H495" t="s">
        <v>27</v>
      </c>
      <c r="I495" t="s">
        <v>28</v>
      </c>
      <c r="J495" t="s">
        <v>29</v>
      </c>
      <c r="K495">
        <v>3</v>
      </c>
      <c r="L495">
        <v>1575</v>
      </c>
      <c r="M495" s="7">
        <v>0.25</v>
      </c>
      <c r="N495">
        <v>40.409999999999997</v>
      </c>
      <c r="O495" t="s">
        <v>91</v>
      </c>
      <c r="P495">
        <f t="shared" si="35"/>
        <v>2025</v>
      </c>
      <c r="Q495" t="str">
        <f t="shared" si="36"/>
        <v>Apr</v>
      </c>
      <c r="R495" s="3">
        <f t="shared" si="37"/>
        <v>2.5657142857142854E-2</v>
      </c>
      <c r="S495" t="str">
        <f t="shared" si="38"/>
        <v>Low</v>
      </c>
      <c r="T495">
        <f t="shared" si="39"/>
        <v>4</v>
      </c>
    </row>
    <row r="496" spans="1:20">
      <c r="A496" t="s">
        <v>717</v>
      </c>
      <c r="B496" s="2">
        <v>45827</v>
      </c>
      <c r="C496" t="s">
        <v>192</v>
      </c>
      <c r="D496" t="s">
        <v>193</v>
      </c>
      <c r="E496" t="s">
        <v>114</v>
      </c>
      <c r="F496" t="s">
        <v>57</v>
      </c>
      <c r="G496" t="s">
        <v>58</v>
      </c>
      <c r="H496" t="s">
        <v>59</v>
      </c>
      <c r="I496" t="s">
        <v>60</v>
      </c>
      <c r="J496" t="s">
        <v>61</v>
      </c>
      <c r="K496">
        <v>3</v>
      </c>
      <c r="L496">
        <v>1890</v>
      </c>
      <c r="M496" s="7">
        <v>0.1</v>
      </c>
      <c r="N496">
        <v>312.83</v>
      </c>
      <c r="O496" t="s">
        <v>83</v>
      </c>
      <c r="P496">
        <f t="shared" si="35"/>
        <v>2025</v>
      </c>
      <c r="Q496" t="str">
        <f t="shared" si="36"/>
        <v>Jun</v>
      </c>
      <c r="R496" s="3">
        <f t="shared" si="37"/>
        <v>0.16551851851851851</v>
      </c>
      <c r="S496" t="str">
        <f t="shared" si="38"/>
        <v>Low</v>
      </c>
      <c r="T496">
        <f t="shared" si="39"/>
        <v>6</v>
      </c>
    </row>
    <row r="497" spans="1:20">
      <c r="A497" t="s">
        <v>718</v>
      </c>
      <c r="B497" s="2">
        <v>45982</v>
      </c>
      <c r="C497" t="s">
        <v>175</v>
      </c>
      <c r="D497" t="s">
        <v>176</v>
      </c>
      <c r="E497" t="s">
        <v>34</v>
      </c>
      <c r="F497" t="s">
        <v>25</v>
      </c>
      <c r="G497" t="s">
        <v>35</v>
      </c>
      <c r="H497" t="s">
        <v>59</v>
      </c>
      <c r="I497" t="s">
        <v>96</v>
      </c>
      <c r="J497" t="s">
        <v>61</v>
      </c>
      <c r="K497">
        <v>5</v>
      </c>
      <c r="L497">
        <v>220000</v>
      </c>
      <c r="M497" s="7">
        <v>0.2</v>
      </c>
      <c r="N497">
        <v>49565.87</v>
      </c>
      <c r="O497" t="s">
        <v>39</v>
      </c>
      <c r="P497">
        <f t="shared" si="35"/>
        <v>2025</v>
      </c>
      <c r="Q497" t="str">
        <f t="shared" si="36"/>
        <v>Nov</v>
      </c>
      <c r="R497" s="3">
        <f t="shared" si="37"/>
        <v>0.22529940909090909</v>
      </c>
      <c r="S497" t="str">
        <f t="shared" si="38"/>
        <v>High</v>
      </c>
      <c r="T497">
        <f t="shared" si="39"/>
        <v>11</v>
      </c>
    </row>
    <row r="498" spans="1:20">
      <c r="A498" t="s">
        <v>719</v>
      </c>
      <c r="B498" s="2">
        <v>46006</v>
      </c>
      <c r="C498" t="s">
        <v>285</v>
      </c>
      <c r="D498" t="s">
        <v>286</v>
      </c>
      <c r="E498" t="s">
        <v>70</v>
      </c>
      <c r="F498" t="s">
        <v>25</v>
      </c>
      <c r="G498" t="s">
        <v>26</v>
      </c>
      <c r="H498" t="s">
        <v>27</v>
      </c>
      <c r="I498" t="s">
        <v>28</v>
      </c>
      <c r="J498" t="s">
        <v>29</v>
      </c>
      <c r="K498">
        <v>4</v>
      </c>
      <c r="L498">
        <v>3840</v>
      </c>
      <c r="M498" s="7">
        <v>0.2</v>
      </c>
      <c r="N498">
        <v>372.36</v>
      </c>
      <c r="O498" t="s">
        <v>39</v>
      </c>
      <c r="P498">
        <f t="shared" si="35"/>
        <v>2025</v>
      </c>
      <c r="Q498" t="str">
        <f t="shared" si="36"/>
        <v>Dec</v>
      </c>
      <c r="R498" s="3">
        <f t="shared" si="37"/>
        <v>9.6968750000000006E-2</v>
      </c>
      <c r="S498" t="str">
        <f t="shared" si="38"/>
        <v>Low</v>
      </c>
      <c r="T498">
        <f t="shared" si="39"/>
        <v>12</v>
      </c>
    </row>
    <row r="499" spans="1:20">
      <c r="A499" t="s">
        <v>720</v>
      </c>
      <c r="B499" s="2">
        <v>45833</v>
      </c>
      <c r="C499" t="s">
        <v>101</v>
      </c>
      <c r="D499" t="s">
        <v>102</v>
      </c>
      <c r="E499" t="s">
        <v>126</v>
      </c>
      <c r="F499" t="s">
        <v>25</v>
      </c>
      <c r="G499" t="s">
        <v>35</v>
      </c>
      <c r="H499" t="s">
        <v>27</v>
      </c>
      <c r="I499" t="s">
        <v>28</v>
      </c>
      <c r="J499" t="s">
        <v>29</v>
      </c>
      <c r="K499">
        <v>4</v>
      </c>
      <c r="L499">
        <v>46400</v>
      </c>
      <c r="M499" s="7">
        <v>0.2</v>
      </c>
      <c r="N499">
        <v>7852.58</v>
      </c>
      <c r="O499" t="s">
        <v>39</v>
      </c>
      <c r="P499">
        <f t="shared" si="35"/>
        <v>2025</v>
      </c>
      <c r="Q499" t="str">
        <f t="shared" si="36"/>
        <v>Jun</v>
      </c>
      <c r="R499" s="3">
        <f t="shared" si="37"/>
        <v>0.16923663793103449</v>
      </c>
      <c r="S499" t="str">
        <f t="shared" si="38"/>
        <v>High</v>
      </c>
      <c r="T499">
        <f t="shared" si="39"/>
        <v>6</v>
      </c>
    </row>
    <row r="500" spans="1:20">
      <c r="A500" t="s">
        <v>721</v>
      </c>
      <c r="B500" s="2">
        <v>45750</v>
      </c>
      <c r="C500" t="s">
        <v>240</v>
      </c>
      <c r="D500" t="s">
        <v>33</v>
      </c>
      <c r="E500" t="s">
        <v>142</v>
      </c>
      <c r="F500" t="s">
        <v>25</v>
      </c>
      <c r="G500" t="s">
        <v>143</v>
      </c>
      <c r="H500" t="s">
        <v>27</v>
      </c>
      <c r="I500" t="s">
        <v>65</v>
      </c>
      <c r="J500" t="s">
        <v>66</v>
      </c>
      <c r="K500">
        <v>1</v>
      </c>
      <c r="L500">
        <v>9775</v>
      </c>
      <c r="M500" s="7">
        <v>0.15</v>
      </c>
      <c r="N500">
        <v>777.38</v>
      </c>
      <c r="O500" t="s">
        <v>91</v>
      </c>
      <c r="P500">
        <f t="shared" si="35"/>
        <v>2025</v>
      </c>
      <c r="Q500" t="str">
        <f t="shared" si="36"/>
        <v>Apr</v>
      </c>
      <c r="R500" s="3">
        <f t="shared" si="37"/>
        <v>7.9527365728900248E-2</v>
      </c>
      <c r="S500" t="str">
        <f t="shared" si="38"/>
        <v>Low</v>
      </c>
      <c r="T500">
        <f t="shared" si="39"/>
        <v>4</v>
      </c>
    </row>
    <row r="501" spans="1:20">
      <c r="A501" t="s">
        <v>722</v>
      </c>
      <c r="B501" s="2">
        <v>45889</v>
      </c>
      <c r="C501" t="s">
        <v>54</v>
      </c>
      <c r="D501" t="s">
        <v>55</v>
      </c>
      <c r="E501" t="s">
        <v>34</v>
      </c>
      <c r="F501" t="s">
        <v>25</v>
      </c>
      <c r="G501" t="s">
        <v>35</v>
      </c>
      <c r="H501" t="s">
        <v>59</v>
      </c>
      <c r="I501" t="s">
        <v>60</v>
      </c>
      <c r="J501" t="s">
        <v>61</v>
      </c>
      <c r="K501">
        <v>3</v>
      </c>
      <c r="L501">
        <v>156750</v>
      </c>
      <c r="M501" s="7">
        <v>0.05</v>
      </c>
      <c r="N501">
        <v>34505.550000000003</v>
      </c>
      <c r="O501" t="s">
        <v>39</v>
      </c>
      <c r="P501">
        <f t="shared" si="35"/>
        <v>2025</v>
      </c>
      <c r="Q501" t="str">
        <f t="shared" si="36"/>
        <v>Aug</v>
      </c>
      <c r="R501" s="3">
        <f t="shared" si="37"/>
        <v>0.22013110047846893</v>
      </c>
      <c r="S501" t="str">
        <f t="shared" si="38"/>
        <v>High</v>
      </c>
      <c r="T501">
        <f t="shared" si="39"/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3D75-F852-4443-B609-728D7E53D007}">
  <dimension ref="A1:H8"/>
  <sheetViews>
    <sheetView workbookViewId="0">
      <selection activeCell="F5" sqref="F5"/>
    </sheetView>
  </sheetViews>
  <sheetFormatPr defaultRowHeight="14.4"/>
  <cols>
    <col min="1" max="1" width="25.77734375" customWidth="1"/>
    <col min="2" max="2" width="18.88671875" customWidth="1"/>
  </cols>
  <sheetData>
    <row r="1" spans="1:8" ht="30" customHeight="1">
      <c r="A1" s="15" t="s">
        <v>731</v>
      </c>
      <c r="B1" s="16"/>
      <c r="C1" s="16"/>
      <c r="D1" s="16"/>
      <c r="E1" s="16"/>
      <c r="F1" s="16"/>
      <c r="G1" s="16"/>
      <c r="H1" s="16"/>
    </row>
    <row r="2" spans="1:8" ht="25.2" customHeight="1">
      <c r="A2" s="17" t="s">
        <v>730</v>
      </c>
      <c r="B2" s="18"/>
      <c r="C2" s="18"/>
      <c r="D2" s="18"/>
      <c r="E2" s="18"/>
      <c r="F2" s="18"/>
      <c r="G2" s="18"/>
      <c r="H2" s="18"/>
    </row>
    <row r="3" spans="1:8" ht="24.6" customHeight="1">
      <c r="A3" s="4" t="s">
        <v>723</v>
      </c>
      <c r="B3" s="4" t="s">
        <v>724</v>
      </c>
    </row>
    <row r="4" spans="1:8" ht="30" customHeight="1">
      <c r="A4" s="4" t="s">
        <v>725</v>
      </c>
      <c r="B4" s="4">
        <f>COUNTA('Raw Data'!A2:A501)</f>
        <v>500</v>
      </c>
    </row>
    <row r="5" spans="1:8" ht="30.6" customHeight="1">
      <c r="A5" s="4" t="s">
        <v>726</v>
      </c>
      <c r="B5" s="4">
        <f>SUM('Raw Data'!L2:L501)</f>
        <v>12242727</v>
      </c>
    </row>
    <row r="6" spans="1:8" ht="30" customHeight="1">
      <c r="A6" s="4" t="s">
        <v>727</v>
      </c>
      <c r="B6" s="4">
        <f>SUM('Raw Data'!N2:N501)</f>
        <v>1600305.2700000005</v>
      </c>
    </row>
    <row r="7" spans="1:8" ht="30" customHeight="1">
      <c r="A7" s="4" t="s">
        <v>728</v>
      </c>
      <c r="B7" s="4">
        <f>SUM('Raw Data'!K2:K501)</f>
        <v>1500</v>
      </c>
    </row>
    <row r="8" spans="1:8" ht="30" customHeight="1">
      <c r="A8" s="4" t="s">
        <v>729</v>
      </c>
      <c r="B8" s="4">
        <f>B5/B4</f>
        <v>24485.454000000002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2E6F-E7E8-4384-B169-4C98A0E5037A}">
  <dimension ref="A3:D30"/>
  <sheetViews>
    <sheetView topLeftCell="A11" workbookViewId="0">
      <selection activeCell="A36" sqref="A36"/>
    </sheetView>
  </sheetViews>
  <sheetFormatPr defaultRowHeight="14.4"/>
  <cols>
    <col min="1" max="1" width="10.77734375" bestFit="1" customWidth="1"/>
    <col min="2" max="3" width="12.109375" bestFit="1" customWidth="1"/>
    <col min="4" max="4" width="14.88671875" bestFit="1" customWidth="1"/>
  </cols>
  <sheetData>
    <row r="3" spans="1:4">
      <c r="A3" s="5" t="s">
        <v>5</v>
      </c>
      <c r="B3" t="s">
        <v>734</v>
      </c>
      <c r="C3" t="s">
        <v>735</v>
      </c>
      <c r="D3" t="s">
        <v>736</v>
      </c>
    </row>
    <row r="4" spans="1:4">
      <c r="A4" t="s">
        <v>57</v>
      </c>
      <c r="B4">
        <v>166910</v>
      </c>
      <c r="C4">
        <v>26167.769999999997</v>
      </c>
      <c r="D4">
        <v>169</v>
      </c>
    </row>
    <row r="5" spans="1:4">
      <c r="A5" t="s">
        <v>25</v>
      </c>
      <c r="B5">
        <v>9668092.5</v>
      </c>
      <c r="C5">
        <v>1237117.2100000009</v>
      </c>
      <c r="D5">
        <v>809</v>
      </c>
    </row>
    <row r="6" spans="1:4">
      <c r="A6" t="s">
        <v>44</v>
      </c>
      <c r="B6">
        <v>2367150</v>
      </c>
      <c r="C6">
        <v>331603.08999999997</v>
      </c>
      <c r="D6">
        <v>306</v>
      </c>
    </row>
    <row r="7" spans="1:4">
      <c r="A7" t="s">
        <v>76</v>
      </c>
      <c r="B7">
        <v>40574.5</v>
      </c>
      <c r="C7">
        <v>5417.1999999999989</v>
      </c>
      <c r="D7">
        <v>216</v>
      </c>
    </row>
    <row r="8" spans="1:4">
      <c r="A8" t="s">
        <v>733</v>
      </c>
      <c r="B8">
        <v>12242727</v>
      </c>
      <c r="C8">
        <v>1600305.2700000007</v>
      </c>
      <c r="D8">
        <v>1500</v>
      </c>
    </row>
    <row r="14" spans="1:4">
      <c r="A14" s="5" t="s">
        <v>5</v>
      </c>
      <c r="B14" t="s">
        <v>734</v>
      </c>
    </row>
    <row r="15" spans="1:4">
      <c r="A15" t="s">
        <v>57</v>
      </c>
      <c r="B15">
        <v>166910</v>
      </c>
    </row>
    <row r="16" spans="1:4">
      <c r="A16" t="s">
        <v>25</v>
      </c>
      <c r="B16">
        <v>9668092.5</v>
      </c>
    </row>
    <row r="17" spans="1:2">
      <c r="A17" t="s">
        <v>44</v>
      </c>
      <c r="B17">
        <v>2367150</v>
      </c>
    </row>
    <row r="18" spans="1:2">
      <c r="A18" t="s">
        <v>76</v>
      </c>
      <c r="B18">
        <v>40574.5</v>
      </c>
    </row>
    <row r="19" spans="1:2">
      <c r="A19" t="s">
        <v>733</v>
      </c>
      <c r="B19">
        <v>12242727</v>
      </c>
    </row>
    <row r="25" spans="1:2">
      <c r="A25" s="5" t="s">
        <v>5</v>
      </c>
      <c r="B25" t="s">
        <v>735</v>
      </c>
    </row>
    <row r="26" spans="1:2">
      <c r="A26" t="s">
        <v>57</v>
      </c>
      <c r="B26">
        <v>26167.769999999997</v>
      </c>
    </row>
    <row r="27" spans="1:2">
      <c r="A27" t="s">
        <v>25</v>
      </c>
      <c r="B27">
        <v>1237117.2100000009</v>
      </c>
    </row>
    <row r="28" spans="1:2">
      <c r="A28" t="s">
        <v>44</v>
      </c>
      <c r="B28">
        <v>331603.08999999997</v>
      </c>
    </row>
    <row r="29" spans="1:2">
      <c r="A29" t="s">
        <v>76</v>
      </c>
      <c r="B29">
        <v>5417.1999999999989</v>
      </c>
    </row>
    <row r="30" spans="1:2">
      <c r="A30" t="s">
        <v>733</v>
      </c>
      <c r="B30">
        <v>1600305.2700000007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E86E-9B3F-4E40-82EB-00970B9D6826}">
  <dimension ref="A3:C16"/>
  <sheetViews>
    <sheetView workbookViewId="0">
      <selection activeCell="M15" sqref="M15"/>
    </sheetView>
  </sheetViews>
  <sheetFormatPr defaultRowHeight="14.4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>
      <c r="A3" s="5" t="s">
        <v>732</v>
      </c>
      <c r="B3" t="s">
        <v>734</v>
      </c>
      <c r="C3" t="s">
        <v>735</v>
      </c>
    </row>
    <row r="4" spans="1:3">
      <c r="A4" s="6" t="s">
        <v>737</v>
      </c>
      <c r="B4">
        <v>872796</v>
      </c>
      <c r="C4">
        <v>95731.719999999987</v>
      </c>
    </row>
    <row r="5" spans="1:3">
      <c r="A5" s="6" t="s">
        <v>738</v>
      </c>
      <c r="B5">
        <v>1480565</v>
      </c>
      <c r="C5">
        <v>251660.6699999999</v>
      </c>
    </row>
    <row r="6" spans="1:3">
      <c r="A6" s="6" t="s">
        <v>739</v>
      </c>
      <c r="B6">
        <v>1259430.5</v>
      </c>
      <c r="C6">
        <v>151695.07</v>
      </c>
    </row>
    <row r="7" spans="1:3">
      <c r="A7" s="6" t="s">
        <v>740</v>
      </c>
      <c r="B7">
        <v>1004431.5</v>
      </c>
      <c r="C7">
        <v>119306.82000000002</v>
      </c>
    </row>
    <row r="8" spans="1:3">
      <c r="A8" s="6" t="s">
        <v>741</v>
      </c>
      <c r="B8">
        <v>658683</v>
      </c>
      <c r="C8">
        <v>76515.930000000008</v>
      </c>
    </row>
    <row r="9" spans="1:3">
      <c r="A9" s="6" t="s">
        <v>742</v>
      </c>
      <c r="B9">
        <v>488435</v>
      </c>
      <c r="C9">
        <v>78331.01999999999</v>
      </c>
    </row>
    <row r="10" spans="1:3">
      <c r="A10" s="6" t="s">
        <v>743</v>
      </c>
      <c r="B10">
        <v>1069815.5</v>
      </c>
      <c r="C10">
        <v>139223.37</v>
      </c>
    </row>
    <row r="11" spans="1:3">
      <c r="A11" s="6" t="s">
        <v>744</v>
      </c>
      <c r="B11">
        <v>989842.5</v>
      </c>
      <c r="C11">
        <v>121963.71000000002</v>
      </c>
    </row>
    <row r="12" spans="1:3">
      <c r="A12" s="6" t="s">
        <v>745</v>
      </c>
      <c r="B12">
        <v>873416</v>
      </c>
      <c r="C12">
        <v>113340.82</v>
      </c>
    </row>
    <row r="13" spans="1:3">
      <c r="A13" s="6" t="s">
        <v>746</v>
      </c>
      <c r="B13">
        <v>852975</v>
      </c>
      <c r="C13">
        <v>145059.85</v>
      </c>
    </row>
    <row r="14" spans="1:3">
      <c r="A14" s="6" t="s">
        <v>747</v>
      </c>
      <c r="B14">
        <v>974053</v>
      </c>
      <c r="C14">
        <v>116052.69</v>
      </c>
    </row>
    <row r="15" spans="1:3">
      <c r="A15" s="6" t="s">
        <v>748</v>
      </c>
      <c r="B15">
        <v>1718284</v>
      </c>
      <c r="C15">
        <v>191423.59999999995</v>
      </c>
    </row>
    <row r="16" spans="1:3">
      <c r="A16" s="6" t="s">
        <v>733</v>
      </c>
      <c r="B16">
        <v>12242727</v>
      </c>
      <c r="C16">
        <v>1600305.27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867A-B605-4675-9C9B-155DB18898EB}">
  <dimension ref="A3:D29"/>
  <sheetViews>
    <sheetView topLeftCell="A21" workbookViewId="0">
      <selection activeCell="B24" sqref="B24"/>
    </sheetView>
  </sheetViews>
  <sheetFormatPr defaultRowHeight="14.4"/>
  <cols>
    <col min="1" max="1" width="10.88671875" bestFit="1" customWidth="1"/>
    <col min="2" max="2" width="12.109375" bestFit="1" customWidth="1"/>
    <col min="3" max="3" width="11.6640625" bestFit="1" customWidth="1"/>
    <col min="4" max="4" width="12.109375" bestFit="1" customWidth="1"/>
  </cols>
  <sheetData>
    <row r="3" spans="1:4">
      <c r="A3" s="5" t="s">
        <v>732</v>
      </c>
      <c r="B3" t="s">
        <v>736</v>
      </c>
      <c r="C3" t="s">
        <v>734</v>
      </c>
      <c r="D3" t="s">
        <v>735</v>
      </c>
    </row>
    <row r="4" spans="1:4">
      <c r="A4" s="6" t="s">
        <v>34</v>
      </c>
      <c r="B4">
        <v>107</v>
      </c>
      <c r="C4">
        <v>4889500</v>
      </c>
      <c r="D4">
        <v>614147.32999999996</v>
      </c>
    </row>
    <row r="5" spans="1:4">
      <c r="A5" s="6" t="s">
        <v>103</v>
      </c>
      <c r="B5">
        <v>88</v>
      </c>
      <c r="C5">
        <v>2125200</v>
      </c>
      <c r="D5">
        <v>259962.36000000007</v>
      </c>
    </row>
    <row r="6" spans="1:4">
      <c r="A6" s="6" t="s">
        <v>87</v>
      </c>
      <c r="B6">
        <v>102</v>
      </c>
      <c r="C6">
        <v>1080000</v>
      </c>
      <c r="D6">
        <v>158824.57999999999</v>
      </c>
    </row>
    <row r="7" spans="1:4">
      <c r="A7" s="6" t="s">
        <v>126</v>
      </c>
      <c r="B7">
        <v>91</v>
      </c>
      <c r="C7">
        <v>1083150</v>
      </c>
      <c r="D7">
        <v>149610.91999999995</v>
      </c>
    </row>
    <row r="8" spans="1:4">
      <c r="A8" s="6" t="s">
        <v>142</v>
      </c>
      <c r="B8">
        <v>92</v>
      </c>
      <c r="C8">
        <v>905050</v>
      </c>
      <c r="D8">
        <v>126077.84</v>
      </c>
    </row>
    <row r="9" spans="1:4">
      <c r="A9" s="6" t="s">
        <v>43</v>
      </c>
      <c r="B9">
        <v>100</v>
      </c>
      <c r="C9">
        <v>705075</v>
      </c>
      <c r="D9">
        <v>90272.979999999981</v>
      </c>
    </row>
    <row r="10" spans="1:4">
      <c r="A10" s="6" t="s">
        <v>121</v>
      </c>
      <c r="B10">
        <v>104</v>
      </c>
      <c r="C10">
        <v>582075</v>
      </c>
      <c r="D10">
        <v>82505.53</v>
      </c>
    </row>
    <row r="11" spans="1:4">
      <c r="A11" s="6" t="s">
        <v>160</v>
      </c>
      <c r="B11">
        <v>117</v>
      </c>
      <c r="C11">
        <v>304960</v>
      </c>
      <c r="D11">
        <v>37100.360000000008</v>
      </c>
    </row>
    <row r="12" spans="1:4">
      <c r="A12" s="6" t="s">
        <v>24</v>
      </c>
      <c r="B12">
        <v>152</v>
      </c>
      <c r="C12">
        <v>230040</v>
      </c>
      <c r="D12">
        <v>32108.96999999999</v>
      </c>
    </row>
    <row r="13" spans="1:4">
      <c r="A13" s="6" t="s">
        <v>56</v>
      </c>
      <c r="B13">
        <v>79</v>
      </c>
      <c r="C13">
        <v>113360</v>
      </c>
      <c r="D13">
        <v>18315.400000000001</v>
      </c>
    </row>
    <row r="14" spans="1:4">
      <c r="A14" s="6" t="s">
        <v>70</v>
      </c>
      <c r="B14">
        <v>105</v>
      </c>
      <c r="C14">
        <v>108300</v>
      </c>
      <c r="D14">
        <v>14928.390000000005</v>
      </c>
    </row>
    <row r="15" spans="1:4">
      <c r="A15" s="6" t="s">
        <v>114</v>
      </c>
      <c r="B15">
        <v>90</v>
      </c>
      <c r="C15">
        <v>53550</v>
      </c>
      <c r="D15">
        <v>7852.369999999999</v>
      </c>
    </row>
    <row r="16" spans="1:4">
      <c r="A16" s="6" t="s">
        <v>147</v>
      </c>
      <c r="B16">
        <v>130</v>
      </c>
      <c r="C16">
        <v>27362.5</v>
      </c>
      <c r="D16">
        <v>3573.13</v>
      </c>
    </row>
    <row r="17" spans="1:4">
      <c r="A17" s="6" t="s">
        <v>95</v>
      </c>
      <c r="B17">
        <v>57</v>
      </c>
      <c r="C17">
        <v>21892.5</v>
      </c>
      <c r="D17">
        <v>3181.04</v>
      </c>
    </row>
    <row r="18" spans="1:4">
      <c r="A18" s="6" t="s">
        <v>75</v>
      </c>
      <c r="B18">
        <v>86</v>
      </c>
      <c r="C18">
        <v>13212</v>
      </c>
      <c r="D18">
        <v>1844.07</v>
      </c>
    </row>
    <row r="19" spans="1:4">
      <c r="A19" s="6" t="s">
        <v>733</v>
      </c>
      <c r="B19">
        <v>1500</v>
      </c>
      <c r="C19">
        <v>12242727</v>
      </c>
      <c r="D19">
        <v>1600305.27</v>
      </c>
    </row>
    <row r="23" spans="1:4">
      <c r="A23" s="5" t="s">
        <v>4</v>
      </c>
      <c r="B23" t="s">
        <v>735</v>
      </c>
    </row>
    <row r="24" spans="1:4">
      <c r="A24" t="s">
        <v>34</v>
      </c>
      <c r="B24">
        <v>614147.32999999996</v>
      </c>
    </row>
    <row r="25" spans="1:4">
      <c r="A25" t="s">
        <v>103</v>
      </c>
      <c r="B25">
        <v>259962.36000000007</v>
      </c>
    </row>
    <row r="26" spans="1:4">
      <c r="A26" t="s">
        <v>87</v>
      </c>
      <c r="B26">
        <v>158824.57999999999</v>
      </c>
    </row>
    <row r="27" spans="1:4">
      <c r="A27" t="s">
        <v>126</v>
      </c>
      <c r="B27">
        <v>149610.91999999995</v>
      </c>
    </row>
    <row r="28" spans="1:4">
      <c r="A28" t="s">
        <v>142</v>
      </c>
      <c r="B28">
        <v>126077.84</v>
      </c>
    </row>
    <row r="29" spans="1:4">
      <c r="A29" t="s">
        <v>733</v>
      </c>
      <c r="B29">
        <v>1308623.03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B40A-6CF0-489E-B397-2DF9FB34F0E6}">
  <dimension ref="A3:D17"/>
  <sheetViews>
    <sheetView topLeftCell="AL1" workbookViewId="0">
      <selection activeCell="A12" sqref="A12:B16"/>
    </sheetView>
  </sheetViews>
  <sheetFormatPr defaultRowHeight="14.4"/>
  <cols>
    <col min="1" max="1" width="10.77734375" bestFit="1" customWidth="1"/>
    <col min="2" max="3" width="11.6640625" bestFit="1" customWidth="1"/>
    <col min="4" max="4" width="12.109375" bestFit="1" customWidth="1"/>
  </cols>
  <sheetData>
    <row r="3" spans="1:4">
      <c r="A3" s="5" t="s">
        <v>7</v>
      </c>
      <c r="B3" t="s">
        <v>736</v>
      </c>
      <c r="C3" t="s">
        <v>734</v>
      </c>
      <c r="D3" t="s">
        <v>735</v>
      </c>
    </row>
    <row r="4" spans="1:4">
      <c r="A4" t="s">
        <v>127</v>
      </c>
      <c r="B4">
        <v>138</v>
      </c>
      <c r="C4">
        <v>920017.5</v>
      </c>
      <c r="D4">
        <v>136373.33999999997</v>
      </c>
    </row>
    <row r="5" spans="1:4">
      <c r="A5" t="s">
        <v>27</v>
      </c>
      <c r="B5">
        <v>440</v>
      </c>
      <c r="C5">
        <v>3325548.5</v>
      </c>
      <c r="D5">
        <v>445703.85999999975</v>
      </c>
    </row>
    <row r="6" spans="1:4">
      <c r="A6" t="s">
        <v>36</v>
      </c>
      <c r="B6">
        <v>507</v>
      </c>
      <c r="C6">
        <v>4348148.5</v>
      </c>
      <c r="D6">
        <v>538638.25999999989</v>
      </c>
    </row>
    <row r="7" spans="1:4">
      <c r="A7" t="s">
        <v>59</v>
      </c>
      <c r="B7">
        <v>415</v>
      </c>
      <c r="C7">
        <v>3649012.5</v>
      </c>
      <c r="D7">
        <v>479589.80999999994</v>
      </c>
    </row>
    <row r="8" spans="1:4">
      <c r="A8" t="s">
        <v>733</v>
      </c>
      <c r="B8">
        <v>1500</v>
      </c>
      <c r="C8">
        <v>12242727</v>
      </c>
      <c r="D8">
        <v>1600305.2699999996</v>
      </c>
    </row>
    <row r="12" spans="1:4">
      <c r="A12" s="5" t="s">
        <v>7</v>
      </c>
      <c r="B12" t="s">
        <v>734</v>
      </c>
    </row>
    <row r="13" spans="1:4">
      <c r="A13" t="s">
        <v>127</v>
      </c>
      <c r="B13">
        <v>920017.5</v>
      </c>
    </row>
    <row r="14" spans="1:4">
      <c r="A14" t="s">
        <v>27</v>
      </c>
      <c r="B14">
        <v>3325548.5</v>
      </c>
    </row>
    <row r="15" spans="1:4">
      <c r="A15" t="s">
        <v>36</v>
      </c>
      <c r="B15">
        <v>4348148.5</v>
      </c>
    </row>
    <row r="16" spans="1:4">
      <c r="A16" t="s">
        <v>59</v>
      </c>
      <c r="B16">
        <v>3649012.5</v>
      </c>
    </row>
    <row r="17" spans="1:2">
      <c r="A17" t="s">
        <v>733</v>
      </c>
      <c r="B17">
        <v>12242727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4733-3AD0-4C61-B1E9-FA089207DB21}">
  <dimension ref="A3:D9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4.88671875" bestFit="1" customWidth="1"/>
    <col min="3" max="3" width="11.6640625" bestFit="1" customWidth="1"/>
    <col min="4" max="4" width="12.109375" bestFit="1" customWidth="1"/>
  </cols>
  <sheetData>
    <row r="3" spans="1:4">
      <c r="A3" s="5" t="s">
        <v>732</v>
      </c>
      <c r="B3" t="s">
        <v>736</v>
      </c>
      <c r="C3" t="s">
        <v>734</v>
      </c>
      <c r="D3" t="s">
        <v>735</v>
      </c>
    </row>
    <row r="4" spans="1:4">
      <c r="A4" s="6" t="s">
        <v>71</v>
      </c>
      <c r="B4">
        <v>343</v>
      </c>
      <c r="C4">
        <v>2215332.5</v>
      </c>
      <c r="D4">
        <v>305693.48</v>
      </c>
    </row>
    <row r="5" spans="1:4">
      <c r="A5" s="6" t="s">
        <v>39</v>
      </c>
      <c r="B5">
        <v>285</v>
      </c>
      <c r="C5">
        <v>3352691</v>
      </c>
      <c r="D5">
        <v>486248.07999999984</v>
      </c>
    </row>
    <row r="6" spans="1:4">
      <c r="A6" s="6" t="s">
        <v>91</v>
      </c>
      <c r="B6">
        <v>305</v>
      </c>
      <c r="C6">
        <v>2764999</v>
      </c>
      <c r="D6">
        <v>325667.42</v>
      </c>
    </row>
    <row r="7" spans="1:4">
      <c r="A7" s="6" t="s">
        <v>30</v>
      </c>
      <c r="B7">
        <v>277</v>
      </c>
      <c r="C7">
        <v>1954657.5</v>
      </c>
      <c r="D7">
        <v>240645.43999999989</v>
      </c>
    </row>
    <row r="8" spans="1:4">
      <c r="A8" s="6" t="s">
        <v>83</v>
      </c>
      <c r="B8">
        <v>290</v>
      </c>
      <c r="C8">
        <v>1955047</v>
      </c>
      <c r="D8">
        <v>242050.84999999995</v>
      </c>
    </row>
    <row r="9" spans="1:4">
      <c r="A9" s="6" t="s">
        <v>733</v>
      </c>
      <c r="B9">
        <v>1500</v>
      </c>
      <c r="C9">
        <v>12242727</v>
      </c>
      <c r="D9">
        <v>1600305.2699999996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A7F7-BBF8-4323-B461-51A37FB47BB0}">
  <dimension ref="A3:D24"/>
  <sheetViews>
    <sheetView topLeftCell="A17" workbookViewId="0">
      <selection activeCell="A16" sqref="A16:B23"/>
    </sheetView>
  </sheetViews>
  <sheetFormatPr defaultRowHeight="14.4"/>
  <cols>
    <col min="1" max="1" width="10.77734375" bestFit="1" customWidth="1"/>
    <col min="2" max="2" width="12.109375" bestFit="1" customWidth="1"/>
    <col min="3" max="3" width="14.88671875" bestFit="1" customWidth="1"/>
    <col min="4" max="4" width="12.109375" bestFit="1" customWidth="1"/>
  </cols>
  <sheetData>
    <row r="3" spans="1:4">
      <c r="A3" s="8" t="s">
        <v>12</v>
      </c>
      <c r="B3" t="s">
        <v>734</v>
      </c>
      <c r="C3" t="s">
        <v>736</v>
      </c>
      <c r="D3" t="s">
        <v>735</v>
      </c>
    </row>
    <row r="4" spans="1:4">
      <c r="A4" s="7">
        <v>0</v>
      </c>
      <c r="B4">
        <v>2458490</v>
      </c>
      <c r="C4">
        <v>239</v>
      </c>
      <c r="D4">
        <v>423679.89</v>
      </c>
    </row>
    <row r="5" spans="1:4">
      <c r="A5" s="7">
        <v>0.05</v>
      </c>
      <c r="B5">
        <v>1788204</v>
      </c>
      <c r="C5">
        <v>181</v>
      </c>
      <c r="D5">
        <v>266877.86999999994</v>
      </c>
    </row>
    <row r="6" spans="1:4">
      <c r="A6" s="7">
        <v>0.1</v>
      </c>
      <c r="B6">
        <v>1270044</v>
      </c>
      <c r="C6">
        <v>210</v>
      </c>
      <c r="D6">
        <v>175869.12999999998</v>
      </c>
    </row>
    <row r="7" spans="1:4">
      <c r="A7" s="7">
        <v>0.15</v>
      </c>
      <c r="B7">
        <v>1031016</v>
      </c>
      <c r="C7">
        <v>192</v>
      </c>
      <c r="D7">
        <v>126771.59000000003</v>
      </c>
    </row>
    <row r="8" spans="1:4">
      <c r="A8" s="7">
        <v>0.2</v>
      </c>
      <c r="B8">
        <v>2650416</v>
      </c>
      <c r="C8">
        <v>257</v>
      </c>
      <c r="D8">
        <v>330296.92000000004</v>
      </c>
    </row>
    <row r="9" spans="1:4">
      <c r="A9" s="7">
        <v>0.25</v>
      </c>
      <c r="B9">
        <v>1194765</v>
      </c>
      <c r="C9">
        <v>189</v>
      </c>
      <c r="D9">
        <v>129150.92000000006</v>
      </c>
    </row>
    <row r="10" spans="1:4">
      <c r="A10" s="7">
        <v>0.3</v>
      </c>
      <c r="B10">
        <v>1849792</v>
      </c>
      <c r="C10">
        <v>232</v>
      </c>
      <c r="D10">
        <v>147658.95000000004</v>
      </c>
    </row>
    <row r="11" spans="1:4">
      <c r="A11" s="7" t="s">
        <v>733</v>
      </c>
      <c r="B11">
        <v>12242727</v>
      </c>
      <c r="C11">
        <v>1500</v>
      </c>
      <c r="D11">
        <v>1600305.27</v>
      </c>
    </row>
    <row r="16" spans="1:4">
      <c r="A16" s="5" t="s">
        <v>12</v>
      </c>
      <c r="B16" t="s">
        <v>735</v>
      </c>
    </row>
    <row r="17" spans="1:2">
      <c r="A17" s="7">
        <v>0</v>
      </c>
      <c r="B17">
        <v>423679.89</v>
      </c>
    </row>
    <row r="18" spans="1:2">
      <c r="A18" s="7">
        <v>0.05</v>
      </c>
      <c r="B18">
        <v>266877.86999999994</v>
      </c>
    </row>
    <row r="19" spans="1:2">
      <c r="A19" s="7">
        <v>0.1</v>
      </c>
      <c r="B19">
        <v>175869.12999999998</v>
      </c>
    </row>
    <row r="20" spans="1:2">
      <c r="A20" s="7">
        <v>0.15</v>
      </c>
      <c r="B20">
        <v>126771.59000000003</v>
      </c>
    </row>
    <row r="21" spans="1:2">
      <c r="A21" s="7">
        <v>0.2</v>
      </c>
      <c r="B21">
        <v>330296.92000000004</v>
      </c>
    </row>
    <row r="22" spans="1:2">
      <c r="A22" s="7">
        <v>0.25</v>
      </c>
      <c r="B22">
        <v>129150.92000000006</v>
      </c>
    </row>
    <row r="23" spans="1:2">
      <c r="A23" s="7">
        <v>0.3</v>
      </c>
      <c r="B23">
        <v>147658.95000000004</v>
      </c>
    </row>
    <row r="24" spans="1:2">
      <c r="A24" t="s">
        <v>733</v>
      </c>
      <c r="B24">
        <v>1600305.27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73C1-61D1-48EE-9B39-890F91C286FA}">
  <dimension ref="A1:O7"/>
  <sheetViews>
    <sheetView zoomScale="77" workbookViewId="0">
      <selection activeCell="K52" sqref="K52"/>
    </sheetView>
  </sheetViews>
  <sheetFormatPr defaultRowHeight="14.4"/>
  <cols>
    <col min="3" max="3" width="8.88671875" customWidth="1"/>
    <col min="13" max="13" width="11" customWidth="1"/>
    <col min="14" max="14" width="12.21875" customWidth="1"/>
    <col min="15" max="15" width="16.21875" customWidth="1"/>
  </cols>
  <sheetData>
    <row r="1" spans="1:15">
      <c r="A1" s="20" t="s">
        <v>749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5" ht="14.4" customHeight="1">
      <c r="A4" s="21" t="s">
        <v>750</v>
      </c>
      <c r="B4" s="22"/>
      <c r="C4" s="23"/>
      <c r="D4" s="28" t="s">
        <v>751</v>
      </c>
      <c r="E4" s="28"/>
      <c r="F4" s="28"/>
      <c r="G4" s="28" t="s">
        <v>752</v>
      </c>
      <c r="H4" s="28"/>
      <c r="I4" s="28"/>
      <c r="J4" s="28" t="s">
        <v>753</v>
      </c>
      <c r="K4" s="28"/>
      <c r="L4" s="28"/>
      <c r="M4" s="28" t="s">
        <v>754</v>
      </c>
      <c r="N4" s="28"/>
      <c r="O4" s="28"/>
    </row>
    <row r="5" spans="1:15" ht="14.4" customHeight="1">
      <c r="A5" s="24"/>
      <c r="B5" s="25"/>
      <c r="C5" s="26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>
      <c r="A6" s="27">
        <f>KPI!B4</f>
        <v>500</v>
      </c>
      <c r="B6" s="27"/>
      <c r="C6" s="27"/>
      <c r="D6" s="29">
        <f>KPI!B5</f>
        <v>12242727</v>
      </c>
      <c r="E6" s="29"/>
      <c r="F6" s="29"/>
      <c r="G6" s="19">
        <f>KPI!B6</f>
        <v>1600305.2700000005</v>
      </c>
      <c r="H6" s="19"/>
      <c r="I6" s="19"/>
      <c r="J6" s="29">
        <f>KPI!B7</f>
        <v>1500</v>
      </c>
      <c r="K6" s="29"/>
      <c r="L6" s="29"/>
      <c r="M6" s="19">
        <f>KPI!B8</f>
        <v>24485.454000000002</v>
      </c>
      <c r="N6" s="19"/>
      <c r="O6" s="19"/>
    </row>
    <row r="7" spans="1:15">
      <c r="A7" s="27"/>
      <c r="B7" s="27"/>
      <c r="C7" s="27"/>
      <c r="D7" s="29"/>
      <c r="E7" s="29"/>
      <c r="F7" s="29"/>
      <c r="G7" s="19"/>
      <c r="H7" s="19"/>
      <c r="I7" s="19"/>
      <c r="J7" s="29"/>
      <c r="K7" s="29"/>
      <c r="L7" s="29"/>
      <c r="M7" s="19"/>
      <c r="N7" s="19"/>
      <c r="O7" s="19"/>
    </row>
  </sheetData>
  <mergeCells count="11">
    <mergeCell ref="M6:O7"/>
    <mergeCell ref="A1:N2"/>
    <mergeCell ref="A4:C5"/>
    <mergeCell ref="A6:C7"/>
    <mergeCell ref="D4:F5"/>
    <mergeCell ref="D6:F7"/>
    <mergeCell ref="G4:I5"/>
    <mergeCell ref="G6:I7"/>
    <mergeCell ref="J4:L5"/>
    <mergeCell ref="J6:L7"/>
    <mergeCell ref="M4:O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ACC-956C-4AE0-BFDA-9E6CC6FACD9F}">
  <dimension ref="A1:C16"/>
  <sheetViews>
    <sheetView tabSelected="1" zoomScale="98" workbookViewId="0">
      <selection activeCell="D4" sqref="D4"/>
    </sheetView>
  </sheetViews>
  <sheetFormatPr defaultRowHeight="14.4"/>
  <cols>
    <col min="1" max="1" width="22.77734375" customWidth="1"/>
    <col min="2" max="2" width="104" style="9" customWidth="1"/>
  </cols>
  <sheetData>
    <row r="1" spans="1:3" ht="24.6">
      <c r="A1" s="20" t="s">
        <v>755</v>
      </c>
      <c r="B1" s="20"/>
    </row>
    <row r="3" spans="1:3" ht="17.399999999999999">
      <c r="A3" s="11" t="s">
        <v>756</v>
      </c>
      <c r="B3" s="12" t="s">
        <v>757</v>
      </c>
    </row>
    <row r="4" spans="1:3" ht="31.2">
      <c r="A4" s="14" t="s">
        <v>758</v>
      </c>
      <c r="B4" s="13" t="s">
        <v>759</v>
      </c>
    </row>
    <row r="5" spans="1:3" ht="31.2">
      <c r="A5" s="14" t="s">
        <v>5</v>
      </c>
      <c r="B5" s="13" t="s">
        <v>760</v>
      </c>
    </row>
    <row r="6" spans="1:3" ht="31.2">
      <c r="A6" s="14" t="s">
        <v>761</v>
      </c>
      <c r="B6" s="13" t="s">
        <v>762</v>
      </c>
    </row>
    <row r="7" spans="1:3" ht="15.6">
      <c r="A7" s="14" t="s">
        <v>7</v>
      </c>
      <c r="B7" s="13" t="s">
        <v>763</v>
      </c>
    </row>
    <row r="8" spans="1:3" ht="31.2">
      <c r="A8" s="14" t="s">
        <v>4</v>
      </c>
      <c r="B8" s="13" t="s">
        <v>764</v>
      </c>
    </row>
    <row r="9" spans="1:3" ht="31.2">
      <c r="A9" s="14" t="s">
        <v>14</v>
      </c>
      <c r="B9" s="13" t="s">
        <v>765</v>
      </c>
    </row>
    <row r="10" spans="1:3" ht="31.2">
      <c r="A10" s="14" t="s">
        <v>12</v>
      </c>
      <c r="B10" s="13" t="s">
        <v>766</v>
      </c>
    </row>
    <row r="12" spans="1:3" ht="17.399999999999999">
      <c r="A12" s="10" t="s">
        <v>767</v>
      </c>
    </row>
    <row r="13" spans="1:3" ht="15.6">
      <c r="A13" s="30" t="s">
        <v>770</v>
      </c>
      <c r="B13" s="30"/>
      <c r="C13" s="30"/>
    </row>
    <row r="15" spans="1:3" ht="17.399999999999999">
      <c r="A15" s="10" t="s">
        <v>768</v>
      </c>
    </row>
    <row r="16" spans="1:3" ht="15.6">
      <c r="A16" s="30" t="s">
        <v>769</v>
      </c>
      <c r="B16" s="30"/>
    </row>
  </sheetData>
  <mergeCells count="3">
    <mergeCell ref="A1:B1"/>
    <mergeCell ref="A13:C13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KPI</vt:lpstr>
      <vt:lpstr>Pivot Analysis</vt:lpstr>
      <vt:lpstr>Monthly Analysis</vt:lpstr>
      <vt:lpstr>Product Performance</vt:lpstr>
      <vt:lpstr>Region Performance</vt:lpstr>
      <vt:lpstr>Payment Mode Analysis</vt:lpstr>
      <vt:lpstr>Discount Analysis</vt:lpstr>
      <vt:lpstr>Dashboard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Varshith Nagesh</cp:lastModifiedBy>
  <dcterms:created xsi:type="dcterms:W3CDTF">2026-09-14T07:31:00Z</dcterms:created>
  <dcterms:modified xsi:type="dcterms:W3CDTF">2026-09-30T06:54:03Z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C488D32CDF9B4BBABF30B8D1CB0FF996_12</vt:lpwstr>
  </property>
</Properties>
</file>